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malv\OneDrive - Princeton University\Documents\"/>
    </mc:Choice>
  </mc:AlternateContent>
  <xr:revisionPtr revIDLastSave="0" documentId="8_{EC78E17F-EE74-4B48-8371-B6BE7DE3D2AD}" xr6:coauthVersionLast="47" xr6:coauthVersionMax="47" xr10:uidLastSave="{00000000-0000-0000-0000-000000000000}"/>
  <bookViews>
    <workbookView xWindow="-120" yWindow="-120" windowWidth="29040" windowHeight="15840" activeTab="1" xr2:uid="{116E2D84-E228-498B-A455-5A7A49206673}"/>
  </bookViews>
  <sheets>
    <sheet name="Assumptions" sheetId="1" r:id="rId1"/>
    <sheet name="Peer Comparison" sheetId="9" r:id="rId2"/>
    <sheet name="Scenarios" sheetId="2" r:id="rId3"/>
    <sheet name="D&amp;A Calculations" sheetId="5" r:id="rId4"/>
    <sheet name="Working Capital Schedule" sheetId="7" r:id="rId5"/>
    <sheet name="Financial Forecast + DCF" sheetId="3" r:id="rId6"/>
    <sheet name="WACC" sheetId="8" r:id="rId7"/>
    <sheet name="Miscellaneous Charts" sheetId="10" r:id="rId8"/>
  </sheets>
  <externalReferences>
    <externalReference r:id="rId9"/>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10" l="1"/>
  <c r="G5" i="10" s="1"/>
  <c r="G6" i="10" s="1"/>
  <c r="G7" i="10" s="1"/>
  <c r="G8" i="10" s="1"/>
  <c r="G9" i="10" s="1"/>
  <c r="G10" i="10" s="1"/>
  <c r="G11" i="10" s="1"/>
  <c r="G12" i="10" s="1"/>
  <c r="G13" i="10" s="1"/>
  <c r="G14" i="10" s="1"/>
  <c r="G3" i="10"/>
  <c r="E4" i="10"/>
  <c r="E5" i="10"/>
  <c r="E6" i="10"/>
  <c r="E7" i="10" s="1"/>
  <c r="E8" i="10" s="1"/>
  <c r="E9" i="10" s="1"/>
  <c r="E10" i="10" s="1"/>
  <c r="E11" i="10" s="1"/>
  <c r="E12" i="10" s="1"/>
  <c r="E13" i="10" s="1"/>
  <c r="E14" i="10" s="1"/>
  <c r="E3" i="10"/>
  <c r="C14" i="10"/>
  <c r="C4" i="10"/>
  <c r="C5" i="10" s="1"/>
  <c r="C6" i="10" s="1"/>
  <c r="C7" i="10" s="1"/>
  <c r="C8" i="10" s="1"/>
  <c r="C9" i="10" s="1"/>
  <c r="C10" i="10" s="1"/>
  <c r="C11" i="10" s="1"/>
  <c r="C12" i="10" s="1"/>
  <c r="C13" i="10" s="1"/>
  <c r="C3" i="10"/>
  <c r="K15" i="9"/>
  <c r="I26" i="9" s="1"/>
  <c r="U49" i="3"/>
  <c r="U48" i="3"/>
  <c r="U47" i="3"/>
  <c r="K28" i="3"/>
  <c r="M12" i="9"/>
  <c r="M13" i="9"/>
  <c r="M14" i="9"/>
  <c r="M15" i="9"/>
  <c r="L12" i="9"/>
  <c r="L13" i="9"/>
  <c r="L14" i="9"/>
  <c r="L15" i="9"/>
  <c r="K12" i="9"/>
  <c r="I23" i="9" s="1"/>
  <c r="K14" i="9"/>
  <c r="I25" i="9" s="1"/>
  <c r="K13" i="9"/>
  <c r="I24" i="9" s="1"/>
  <c r="G6" i="9"/>
  <c r="G3" i="9"/>
  <c r="G4" i="9"/>
  <c r="G5" i="9"/>
  <c r="G7" i="9"/>
  <c r="G8" i="9"/>
  <c r="G9" i="9"/>
  <c r="G10" i="9"/>
  <c r="G11" i="9"/>
  <c r="G2" i="9"/>
  <c r="X48" i="3" l="1"/>
  <c r="U51" i="3" s="1"/>
  <c r="M16" i="9"/>
  <c r="M18" i="9" s="1"/>
  <c r="K16" i="9"/>
  <c r="K18" i="9" s="1"/>
  <c r="L16" i="9"/>
  <c r="L18" i="9" s="1"/>
  <c r="M19" i="9"/>
  <c r="AA8" i="1"/>
  <c r="AB8" i="1" s="1"/>
  <c r="AC8" i="1" s="1"/>
  <c r="I57" i="3"/>
  <c r="H12" i="7"/>
  <c r="H25" i="7" s="1"/>
  <c r="I12" i="7"/>
  <c r="I25" i="7" s="1"/>
  <c r="J12" i="7"/>
  <c r="J25" i="7" s="1"/>
  <c r="D3" i="8"/>
  <c r="D5" i="8"/>
  <c r="E49" i="3"/>
  <c r="J22" i="3"/>
  <c r="I22" i="3"/>
  <c r="H22" i="3"/>
  <c r="O33" i="3"/>
  <c r="L33" i="3"/>
  <c r="M33" i="3"/>
  <c r="N33" i="3"/>
  <c r="K33" i="3"/>
  <c r="I38" i="3"/>
  <c r="J38" i="3"/>
  <c r="K38" i="3"/>
  <c r="L38" i="3"/>
  <c r="M38" i="3"/>
  <c r="N38" i="3"/>
  <c r="O38" i="3"/>
  <c r="H38" i="3"/>
  <c r="K8" i="5"/>
  <c r="U50" i="3" l="1"/>
  <c r="K19" i="9"/>
  <c r="L19" i="9"/>
  <c r="J23" i="7"/>
  <c r="I23" i="7"/>
  <c r="H23" i="7"/>
  <c r="F9" i="1"/>
  <c r="X31" i="1"/>
  <c r="I7" i="1" s="1"/>
  <c r="W31" i="1"/>
  <c r="H7" i="1" s="1"/>
  <c r="V31" i="1"/>
  <c r="G7" i="1" s="1"/>
  <c r="U31" i="1"/>
  <c r="F7" i="1" s="1"/>
  <c r="AC28" i="1"/>
  <c r="AC31" i="1" s="1"/>
  <c r="AB28" i="1"/>
  <c r="AA28" i="1"/>
  <c r="Z28" i="1"/>
  <c r="Z31" i="1" s="1"/>
  <c r="K7" i="1" s="1"/>
  <c r="Y28" i="1"/>
  <c r="Y31" i="1" s="1"/>
  <c r="J7" i="1" s="1"/>
  <c r="AC7" i="1"/>
  <c r="AC10" i="1" s="1"/>
  <c r="AB7" i="1"/>
  <c r="AA7" i="1"/>
  <c r="AA10" i="1" s="1"/>
  <c r="Z7" i="1"/>
  <c r="Y7" i="1"/>
  <c r="Y10" i="1" s="1"/>
  <c r="J6" i="1" s="1"/>
  <c r="V10" i="1"/>
  <c r="G6" i="1" s="1"/>
  <c r="W10" i="1"/>
  <c r="H6" i="1" s="1"/>
  <c r="X10" i="1"/>
  <c r="I6" i="1" s="1"/>
  <c r="U10" i="1"/>
  <c r="F6" i="1" s="1"/>
  <c r="G16" i="3"/>
  <c r="G12" i="7" s="1"/>
  <c r="G25" i="7" s="1"/>
  <c r="H13" i="3"/>
  <c r="I13" i="3"/>
  <c r="I14" i="3" s="1"/>
  <c r="J13" i="3"/>
  <c r="G13" i="3"/>
  <c r="D8" i="8"/>
  <c r="D14" i="8"/>
  <c r="D4" i="8" s="1"/>
  <c r="J14" i="3" l="1"/>
  <c r="H14" i="3"/>
  <c r="I23" i="3"/>
  <c r="H9" i="1" s="1"/>
  <c r="I11" i="7"/>
  <c r="I21" i="7" s="1"/>
  <c r="H23" i="3"/>
  <c r="G9" i="1" s="1"/>
  <c r="H11" i="7"/>
  <c r="H21" i="7" s="1"/>
  <c r="G23" i="7"/>
  <c r="F11" i="1"/>
  <c r="G11" i="7"/>
  <c r="G21" i="7" s="1"/>
  <c r="I11" i="1"/>
  <c r="J11" i="7"/>
  <c r="J21" i="7" s="1"/>
  <c r="J19" i="3"/>
  <c r="J30" i="3" s="1"/>
  <c r="AB31" i="1"/>
  <c r="M7" i="1" s="1"/>
  <c r="J18" i="2" s="1"/>
  <c r="Z10" i="1"/>
  <c r="K6" i="1" s="1"/>
  <c r="H13" i="2" s="1"/>
  <c r="AB10" i="1"/>
  <c r="M6" i="1" s="1"/>
  <c r="J13" i="2" s="1"/>
  <c r="AA31" i="1"/>
  <c r="L7" i="1" s="1"/>
  <c r="I18" i="2" s="1"/>
  <c r="D9" i="8"/>
  <c r="D16" i="8" s="1"/>
  <c r="H17" i="3"/>
  <c r="G8" i="1" s="1"/>
  <c r="L6" i="1"/>
  <c r="I13" i="2" s="1"/>
  <c r="N7" i="1"/>
  <c r="K18" i="2" s="1"/>
  <c r="G19" i="3"/>
  <c r="J17" i="3"/>
  <c r="I8" i="1" s="1"/>
  <c r="G11" i="1"/>
  <c r="G17" i="3"/>
  <c r="F8" i="1" s="1"/>
  <c r="H11" i="1"/>
  <c r="H19" i="3"/>
  <c r="H30" i="3" s="1"/>
  <c r="J23" i="3"/>
  <c r="I9" i="1" s="1"/>
  <c r="I17" i="3"/>
  <c r="H8" i="1" s="1"/>
  <c r="I19" i="3"/>
  <c r="N6" i="1"/>
  <c r="K13" i="2" s="1"/>
  <c r="K6" i="7"/>
  <c r="J6" i="7" s="1"/>
  <c r="K6" i="5"/>
  <c r="L6" i="5" s="1"/>
  <c r="M6" i="5" s="1"/>
  <c r="N6" i="5" s="1"/>
  <c r="O6" i="5" s="1"/>
  <c r="O1" i="5"/>
  <c r="H26" i="3"/>
  <c r="G10" i="1" s="1"/>
  <c r="I26" i="3"/>
  <c r="H10" i="1" s="1"/>
  <c r="J26" i="3"/>
  <c r="I10" i="1" s="1"/>
  <c r="J10" i="1" s="1"/>
  <c r="K10" i="1" s="1"/>
  <c r="L10" i="1" s="1"/>
  <c r="M10" i="1" s="1"/>
  <c r="N10" i="1" s="1"/>
  <c r="O26" i="3" s="1"/>
  <c r="F10" i="1"/>
  <c r="H25" i="2"/>
  <c r="I25" i="2"/>
  <c r="J25" i="2"/>
  <c r="K25" i="2"/>
  <c r="G25" i="2"/>
  <c r="H18" i="2"/>
  <c r="G18" i="2"/>
  <c r="G13" i="2"/>
  <c r="J12" i="3"/>
  <c r="I12" i="3"/>
  <c r="H12" i="3"/>
  <c r="I10" i="3"/>
  <c r="J10" i="3"/>
  <c r="H10" i="3"/>
  <c r="J20" i="3" l="1"/>
  <c r="J14" i="2"/>
  <c r="J12" i="2"/>
  <c r="K12" i="2"/>
  <c r="K14" i="2"/>
  <c r="G23" i="2"/>
  <c r="G24" i="2"/>
  <c r="G26" i="2"/>
  <c r="H12" i="2"/>
  <c r="H14" i="2"/>
  <c r="H23" i="2"/>
  <c r="H24" i="2"/>
  <c r="H26" i="2"/>
  <c r="I23" i="2"/>
  <c r="I24" i="2"/>
  <c r="I26" i="2"/>
  <c r="J23" i="2"/>
  <c r="J24" i="2"/>
  <c r="J26" i="2"/>
  <c r="I17" i="2"/>
  <c r="I19" i="2"/>
  <c r="G17" i="2"/>
  <c r="G19" i="2"/>
  <c r="I12" i="2"/>
  <c r="I14" i="2"/>
  <c r="G12" i="2"/>
  <c r="G14" i="2"/>
  <c r="J17" i="2"/>
  <c r="J19" i="2"/>
  <c r="H19" i="2"/>
  <c r="H17" i="2"/>
  <c r="K23" i="2"/>
  <c r="K26" i="2"/>
  <c r="K24" i="2"/>
  <c r="K17" i="2"/>
  <c r="K19" i="2"/>
  <c r="H20" i="3"/>
  <c r="J35" i="3"/>
  <c r="J37" i="3" s="1"/>
  <c r="J40" i="3" s="1"/>
  <c r="I20" i="3"/>
  <c r="J11" i="1"/>
  <c r="K11" i="1" s="1"/>
  <c r="L11" i="1" s="1"/>
  <c r="M11" i="1" s="1"/>
  <c r="N11" i="1" s="1"/>
  <c r="L26" i="3"/>
  <c r="J9" i="1"/>
  <c r="K26" i="3"/>
  <c r="N26" i="3"/>
  <c r="M26" i="3"/>
  <c r="I30" i="3"/>
  <c r="J31" i="3" s="1"/>
  <c r="H35" i="3"/>
  <c r="H37" i="3" s="1"/>
  <c r="H40" i="3" s="1"/>
  <c r="I6" i="7"/>
  <c r="L6" i="7"/>
  <c r="K8" i="7"/>
  <c r="J6" i="5"/>
  <c r="I6" i="5" s="1"/>
  <c r="H6" i="5" s="1"/>
  <c r="I35" i="3" l="1"/>
  <c r="I37" i="3" s="1"/>
  <c r="I40" i="3" s="1"/>
  <c r="I31" i="3"/>
  <c r="K23" i="3"/>
  <c r="L23" i="3"/>
  <c r="L8" i="7"/>
  <c r="M6" i="7"/>
  <c r="H6" i="7"/>
  <c r="I8" i="7" s="1"/>
  <c r="J8" i="7"/>
  <c r="I17" i="7" l="1"/>
  <c r="H17" i="7"/>
  <c r="J16" i="7"/>
  <c r="J15" i="7"/>
  <c r="H16" i="7"/>
  <c r="H15" i="7"/>
  <c r="I15" i="7"/>
  <c r="I16" i="7"/>
  <c r="M23" i="3"/>
  <c r="J17" i="7"/>
  <c r="M8" i="7"/>
  <c r="N6" i="7"/>
  <c r="K17" i="7" l="1"/>
  <c r="L17" i="7" s="1"/>
  <c r="O23" i="3"/>
  <c r="N23" i="3"/>
  <c r="N8" i="7"/>
  <c r="O6" i="7"/>
  <c r="O8" i="7" s="1"/>
  <c r="M17" i="7" l="1"/>
  <c r="N17" i="7" l="1"/>
  <c r="O17" i="7" l="1"/>
  <c r="O17" i="3" l="1"/>
  <c r="N17" i="3"/>
  <c r="M17" i="3"/>
  <c r="L17" i="3"/>
  <c r="K17" i="3"/>
  <c r="K16" i="2"/>
  <c r="O12" i="3" s="1"/>
  <c r="J16" i="2"/>
  <c r="N12" i="3" s="1"/>
  <c r="I16" i="2"/>
  <c r="M12" i="3" s="1"/>
  <c r="H16" i="2"/>
  <c r="L12" i="3" s="1"/>
  <c r="G16" i="2"/>
  <c r="K12" i="3" s="1"/>
  <c r="H11" i="2"/>
  <c r="L10" i="3" s="1"/>
  <c r="I11" i="2"/>
  <c r="M10" i="3" s="1"/>
  <c r="J11" i="2"/>
  <c r="N10" i="3" s="1"/>
  <c r="K11" i="2"/>
  <c r="O10" i="3" s="1"/>
  <c r="G11" i="2"/>
  <c r="K10" i="3" s="1"/>
  <c r="K9" i="3" s="1"/>
  <c r="K7" i="3"/>
  <c r="L7" i="3" s="1"/>
  <c r="M7" i="3" s="1"/>
  <c r="N7" i="3" s="1"/>
  <c r="O7" i="3" s="1"/>
  <c r="O1" i="3"/>
  <c r="K11" i="3" l="1"/>
  <c r="K13" i="3" s="1"/>
  <c r="K14" i="3" s="1"/>
  <c r="J7" i="3"/>
  <c r="I7" i="3" s="1"/>
  <c r="H7" i="3" s="1"/>
  <c r="L9" i="3"/>
  <c r="G6" i="2"/>
  <c r="H6" i="2" s="1"/>
  <c r="I6" i="2" s="1"/>
  <c r="J6" i="2" s="1"/>
  <c r="K6" i="2" s="1"/>
  <c r="L11" i="3" l="1"/>
  <c r="M11" i="3" s="1"/>
  <c r="N11" i="3" s="1"/>
  <c r="O11" i="3" s="1"/>
  <c r="K22" i="3"/>
  <c r="K11" i="7"/>
  <c r="K20" i="7" s="1"/>
  <c r="K25" i="3"/>
  <c r="K16" i="3"/>
  <c r="K12" i="7" s="1"/>
  <c r="M9" i="3"/>
  <c r="L13" i="3" l="1"/>
  <c r="K21" i="7"/>
  <c r="K22" i="7"/>
  <c r="K24" i="7"/>
  <c r="K25" i="7" s="1"/>
  <c r="K19" i="3"/>
  <c r="K20" i="3" s="1"/>
  <c r="L9" i="5"/>
  <c r="F49" i="3" s="1"/>
  <c r="L22" i="3"/>
  <c r="L25" i="3"/>
  <c r="L16" i="3"/>
  <c r="L12" i="7" s="1"/>
  <c r="L22" i="7" s="1"/>
  <c r="N9" i="3"/>
  <c r="M13" i="3"/>
  <c r="M11" i="7" l="1"/>
  <c r="M14" i="3"/>
  <c r="L11" i="7"/>
  <c r="L20" i="7" s="1"/>
  <c r="L14" i="3"/>
  <c r="E50" i="3"/>
  <c r="M20" i="7"/>
  <c r="M21" i="7" s="1"/>
  <c r="L24" i="7"/>
  <c r="L21" i="7"/>
  <c r="M25" i="3"/>
  <c r="M9" i="5"/>
  <c r="G49" i="3" s="1"/>
  <c r="M22" i="3"/>
  <c r="M16" i="3"/>
  <c r="M12" i="7" s="1"/>
  <c r="O9" i="3"/>
  <c r="O13" i="3" s="1"/>
  <c r="O14" i="3" s="1"/>
  <c r="N13" i="3"/>
  <c r="L19" i="3"/>
  <c r="N11" i="7" l="1"/>
  <c r="N14" i="3"/>
  <c r="M24" i="7"/>
  <c r="M22" i="7"/>
  <c r="G50" i="3" s="1"/>
  <c r="F50" i="3"/>
  <c r="L25" i="7"/>
  <c r="N20" i="7"/>
  <c r="N21" i="7" s="1"/>
  <c r="O11" i="7"/>
  <c r="M25" i="7"/>
  <c r="M19" i="3"/>
  <c r="M20" i="3" s="1"/>
  <c r="O9" i="5"/>
  <c r="I49" i="3" s="1"/>
  <c r="O22" i="3"/>
  <c r="O25" i="3"/>
  <c r="O16" i="3"/>
  <c r="O12" i="7" s="1"/>
  <c r="N9" i="5"/>
  <c r="H49" i="3" s="1"/>
  <c r="N22" i="3"/>
  <c r="N25" i="3"/>
  <c r="N16" i="3"/>
  <c r="N12" i="7" s="1"/>
  <c r="L20" i="3"/>
  <c r="O20" i="7" l="1"/>
  <c r="O21" i="7" s="1"/>
  <c r="N22" i="7"/>
  <c r="O22" i="7" s="1"/>
  <c r="N24" i="7"/>
  <c r="O24" i="7" s="1"/>
  <c r="O25" i="7" s="1"/>
  <c r="O19" i="3"/>
  <c r="N19" i="3"/>
  <c r="H50" i="3" l="1"/>
  <c r="I50" i="3"/>
  <c r="N25" i="7"/>
  <c r="N20" i="3"/>
  <c r="O20" i="3"/>
  <c r="K16" i="7" l="1"/>
  <c r="K23" i="7"/>
  <c r="L23" i="7" l="1"/>
  <c r="L16" i="7"/>
  <c r="M16" i="7" l="1"/>
  <c r="M23" i="7"/>
  <c r="N23" i="7" l="1"/>
  <c r="N16" i="7"/>
  <c r="O23" i="7" l="1"/>
  <c r="O16" i="7"/>
  <c r="K15" i="7"/>
  <c r="L15" i="7"/>
  <c r="M15" i="7"/>
  <c r="N15" i="7"/>
  <c r="O15" i="7"/>
  <c r="K30" i="3"/>
  <c r="E48" i="3"/>
  <c r="K35" i="3" l="1"/>
  <c r="K37" i="3" s="1"/>
  <c r="K40" i="3" s="1"/>
  <c r="K31" i="3"/>
  <c r="E47" i="3" l="1"/>
  <c r="E51" i="3" s="1"/>
  <c r="E53" i="3" s="1"/>
  <c r="L8" i="5"/>
  <c r="M8" i="5"/>
  <c r="N8" i="5"/>
  <c r="O8" i="5"/>
  <c r="K11" i="5"/>
  <c r="L11" i="5"/>
  <c r="M11" i="5"/>
  <c r="N11" i="5"/>
  <c r="O11" i="5"/>
  <c r="K13" i="5"/>
  <c r="L13" i="5"/>
  <c r="M13" i="5"/>
  <c r="N13" i="5"/>
  <c r="O13" i="5"/>
  <c r="K17" i="5"/>
  <c r="L17" i="5"/>
  <c r="M17" i="5"/>
  <c r="N17" i="5"/>
  <c r="O17" i="5"/>
  <c r="L19" i="5"/>
  <c r="M19" i="5"/>
  <c r="N19" i="5"/>
  <c r="O19" i="5"/>
  <c r="L28" i="3"/>
  <c r="M28" i="3"/>
  <c r="N28" i="3"/>
  <c r="O28" i="3"/>
  <c r="L30" i="3"/>
  <c r="M30" i="3"/>
  <c r="N30" i="3"/>
  <c r="O30" i="3"/>
  <c r="L31" i="3"/>
  <c r="M31" i="3"/>
  <c r="N31" i="3"/>
  <c r="O31" i="3"/>
  <c r="L35" i="3"/>
  <c r="M35" i="3"/>
  <c r="N35" i="3"/>
  <c r="O35" i="3"/>
  <c r="L37" i="3"/>
  <c r="M37" i="3"/>
  <c r="N37" i="3"/>
  <c r="O37" i="3"/>
  <c r="L40" i="3"/>
  <c r="M40" i="3"/>
  <c r="N40" i="3"/>
  <c r="O40" i="3"/>
  <c r="F47" i="3"/>
  <c r="G47" i="3"/>
  <c r="H47" i="3"/>
  <c r="I47" i="3"/>
  <c r="F48" i="3"/>
  <c r="G48" i="3"/>
  <c r="H48" i="3"/>
  <c r="I48" i="3"/>
  <c r="F51" i="3"/>
  <c r="G51" i="3"/>
  <c r="H51" i="3"/>
  <c r="I51" i="3"/>
  <c r="F53" i="3"/>
  <c r="G53" i="3"/>
  <c r="H53" i="3"/>
  <c r="I53" i="3"/>
  <c r="I54" i="3"/>
  <c r="I55" i="3"/>
  <c r="I56" i="3"/>
  <c r="I59" i="3"/>
  <c r="I62" i="3"/>
</calcChain>
</file>

<file path=xl/sharedStrings.xml><?xml version="1.0" encoding="utf-8"?>
<sst xmlns="http://schemas.openxmlformats.org/spreadsheetml/2006/main" count="299" uniqueCount="216">
  <si>
    <t>Scenario Switch</t>
  </si>
  <si>
    <t>Best Case</t>
  </si>
  <si>
    <t>Base Case</t>
  </si>
  <si>
    <t>Worst Case</t>
  </si>
  <si>
    <t>Company Name</t>
  </si>
  <si>
    <t>Driver two</t>
  </si>
  <si>
    <t>Driver one</t>
  </si>
  <si>
    <t>Revenue Drivers</t>
  </si>
  <si>
    <t>Income Statement</t>
  </si>
  <si>
    <t>projected</t>
  </si>
  <si>
    <t>% growth</t>
  </si>
  <si>
    <t>Total Revenue</t>
  </si>
  <si>
    <t>COGS</t>
  </si>
  <si>
    <t xml:space="preserve">COGS </t>
  </si>
  <si>
    <t>% revenue</t>
  </si>
  <si>
    <t>Gross Profit</t>
  </si>
  <si>
    <t>SG&amp;A</t>
  </si>
  <si>
    <t>Inputs and Assumptions</t>
  </si>
  <si>
    <t>COGS % of revenue</t>
  </si>
  <si>
    <t>SG&amp;A % of revenue</t>
  </si>
  <si>
    <t>R&amp;D</t>
  </si>
  <si>
    <t>R&amp;D % of revenue</t>
  </si>
  <si>
    <t>Depreciation Schedule</t>
  </si>
  <si>
    <t>CapEx % revenue</t>
  </si>
  <si>
    <t>Beginning Fixed Assets (PP&amp;E)</t>
  </si>
  <si>
    <t>MM</t>
  </si>
  <si>
    <t>Plus: Capex</t>
  </si>
  <si>
    <t>Capex</t>
  </si>
  <si>
    <t>Total Depreciation</t>
  </si>
  <si>
    <t>Expected Amortization</t>
  </si>
  <si>
    <t>Ending Fixed Assets (PP&amp;E)</t>
  </si>
  <si>
    <t>Projected</t>
  </si>
  <si>
    <t>D&amp;A</t>
  </si>
  <si>
    <t>Operating Income (EBIT)</t>
  </si>
  <si>
    <t>effective tax rate</t>
  </si>
  <si>
    <t>corporate tax rate</t>
  </si>
  <si>
    <t>Cash</t>
  </si>
  <si>
    <t>Net Income</t>
  </si>
  <si>
    <t>Interest Expense</t>
  </si>
  <si>
    <t>Pre-Tax Income (EBT)</t>
  </si>
  <si>
    <t>Income Taxes</t>
  </si>
  <si>
    <t>Accounts Receivable</t>
  </si>
  <si>
    <t>Accounts Payable</t>
  </si>
  <si>
    <t>Working Capital Schedule</t>
  </si>
  <si>
    <t>Days Per Year</t>
  </si>
  <si>
    <t>Income Statement Items</t>
  </si>
  <si>
    <t>Days In</t>
  </si>
  <si>
    <t>days</t>
  </si>
  <si>
    <t>Inventories</t>
  </si>
  <si>
    <t>Account Balances</t>
  </si>
  <si>
    <t>Revenue</t>
  </si>
  <si>
    <t>DCF</t>
  </si>
  <si>
    <t>NOPAT</t>
  </si>
  <si>
    <t>+</t>
  </si>
  <si>
    <t>-</t>
  </si>
  <si>
    <t>Change in NWC</t>
  </si>
  <si>
    <t>=</t>
  </si>
  <si>
    <t>Unlevered Free Cash Flow</t>
  </si>
  <si>
    <t>Present Value of UFCF</t>
  </si>
  <si>
    <t>Terminal Value</t>
  </si>
  <si>
    <t>Present Value of Terminal Value</t>
  </si>
  <si>
    <t>Enterprise Value</t>
  </si>
  <si>
    <t>Debt</t>
  </si>
  <si>
    <t>Equity Value</t>
  </si>
  <si>
    <t>Shares Outstanding</t>
  </si>
  <si>
    <t>Implied PPS</t>
  </si>
  <si>
    <t>WACC CALCULATIONS</t>
  </si>
  <si>
    <t>Total Debt:</t>
  </si>
  <si>
    <t>% Debt:</t>
  </si>
  <si>
    <t>Tax Rate:</t>
  </si>
  <si>
    <t>Equity Value:</t>
  </si>
  <si>
    <t>Cost of Equity:</t>
  </si>
  <si>
    <t>% Equity:</t>
  </si>
  <si>
    <t>Risk-Free Rate:</t>
  </si>
  <si>
    <t>Beta:</t>
  </si>
  <si>
    <t>Market-Risk Premium:</t>
  </si>
  <si>
    <t>Debt + Equity:</t>
  </si>
  <si>
    <t>WACC:</t>
  </si>
  <si>
    <t>Terminal Growth Rate:</t>
  </si>
  <si>
    <t>YTM on long term bonds, default spread on credit rating + rfr if no bonds, or calculate interest coverage ratio (EBIT/interest) and find credit default spread given this and add to rfr</t>
  </si>
  <si>
    <t>Ticker</t>
  </si>
  <si>
    <t>HUBB</t>
  </si>
  <si>
    <t>AYI</t>
  </si>
  <si>
    <t>AME</t>
  </si>
  <si>
    <t>ETN</t>
  </si>
  <si>
    <t>EMR</t>
  </si>
  <si>
    <t>nVent Electric</t>
  </si>
  <si>
    <t>Enclosures</t>
  </si>
  <si>
    <t>Electrical &amp; Fastening Solutions</t>
  </si>
  <si>
    <t>Notes:</t>
  </si>
  <si>
    <t>1)</t>
  </si>
  <si>
    <t>Enclosures % growth</t>
  </si>
  <si>
    <t>Electrical and Fastening Solutions % growth</t>
  </si>
  <si>
    <t>Enclosures sales growth is divided into 4 categories in the 2024 10-K: These are: 1) Volume 2) Price 3) Acquisition 4) Currency</t>
  </si>
  <si>
    <t>Volume</t>
  </si>
  <si>
    <t>Price</t>
  </si>
  <si>
    <t>Acquisition</t>
  </si>
  <si>
    <t>Currency</t>
  </si>
  <si>
    <t>Total Growth</t>
  </si>
  <si>
    <t>One simple assumption is that currency fluctuations eventually average out to 0 in the long run so this entry will be 0 for the next 5 years</t>
  </si>
  <si>
    <t>GS estimates a 2.4% cagr through 2030 in US electrical demand, with about 40% of that being tied to data centers</t>
  </si>
  <si>
    <t>International Energy Agency forecasts a 3.5% cagr through 2030 in global electrical demand</t>
  </si>
  <si>
    <t>US consists of about 70% of sales with that percentage having remained roughly the same in the past 3 years.</t>
  </si>
  <si>
    <t>(highlighted number based on management guidance)</t>
  </si>
  <si>
    <t>PCE of 2.2% through 2029 based off fed predictions and yearly global inflation percentagles off statista</t>
  </si>
  <si>
    <t>(weighted inflation)</t>
  </si>
  <si>
    <t>(off EPG acquisition)</t>
  </si>
  <si>
    <t>Electrical and Fastening Solutions sales growth is divided into 4 categories in the 2024 10-K: These are: 1) Volume 2) Price 3) Acquisition 4) Currency</t>
  </si>
  <si>
    <t xml:space="preserve">3) </t>
  </si>
  <si>
    <t xml:space="preserve">6) </t>
  </si>
  <si>
    <t xml:space="preserve">4) </t>
  </si>
  <si>
    <t>5)</t>
  </si>
  <si>
    <t xml:space="preserve"> R&amp;D as a % of revenue has also remained constant around 2.2% so assume that remains the norm</t>
  </si>
  <si>
    <t>CapEx as a % of revenue has remained around the 2% area so assume that as well</t>
  </si>
  <si>
    <t>depreciation is about 14 % of total PP&amp;E value</t>
  </si>
  <si>
    <t>Total D&amp;A</t>
  </si>
  <si>
    <t>7)</t>
  </si>
  <si>
    <t>Ignoring the tax effects of acquisition step ups/write downs, the average difference between statutory tax rate and effective tax rate was -4.1%, so I will use a 20.9% effective tax rate for the model</t>
  </si>
  <si>
    <t>based off forecasts from 10k however 2025 amortization goes up by about</t>
  </si>
  <si>
    <t>2025 is 110 off management assumptinos</t>
  </si>
  <si>
    <t>Growth likely speeds up in 2025 (seeing this) and 2026 if this is true, and then slows down starting 2027 as these effects cool off and the growth slows down as the company matures</t>
  </si>
  <si>
    <t>2)</t>
  </si>
  <si>
    <t xml:space="preserve">Over the past 4 years, organic sales CAGR has been of 9.4%. Taking a look at it from 2022, CAGR has been 8%, with the CAGR for the past 2 years being about 1%. </t>
  </si>
  <si>
    <t>Over the past 5 years, electrical equipment CAGR was about 2.8%, with CAGR also being sharply affected in 2022 and 2023. While nVent CAGR since 2021 has been much higher, it was largely due to price increases</t>
  </si>
  <si>
    <t xml:space="preserve">Sales volume CAGR in tha time period has been roughly flat. However, at the same time, inflation has been roughly the same as the CAGR, therefore, organic growth may be following close to CAGR. </t>
  </si>
  <si>
    <t>terminal growth rate must be greater than inflation rate (3%) but less than hisotrical gdp growth rate (3.3%)</t>
  </si>
  <si>
    <t>levered beta is used in wacc calculations</t>
  </si>
  <si>
    <t>106.55 close 11/14 with shares outstanding being 161.36 million</t>
  </si>
  <si>
    <t>used second option due to lack of clarity of option 1</t>
  </si>
  <si>
    <t>% of revenue</t>
  </si>
  <si>
    <t>% of COGS</t>
  </si>
  <si>
    <t>cogs/((360.3+x)/2)</t>
  </si>
  <si>
    <t>COGS as a % of revenue had improved slightly since 2023 however went up by a few percent, with management saying its due to inflation/tariffs. Assume an increase for 2025 followed by slower, gradual improvement</t>
  </si>
  <si>
    <t>SG&amp;A as a % of revenue has improved a lot throughout the yeats, assume that it will improve slowly as the firm continues lean initiatives and less money has to go into advertising as client base/backlog grows</t>
  </si>
  <si>
    <t>use 2021-2024 cagr, factor out effect of epg and evenly spread out remaining growth</t>
  </si>
  <si>
    <t>I believe that inventory levels likely stay pretty flat, especially considering backlog growth.</t>
  </si>
  <si>
    <t>~53% growth in cogs only saw a 12% growth in inventory levels, assume similar growth occurs</t>
  </si>
  <si>
    <t xml:space="preserve">DSO decreased paired with a 8% AR growth despite seeing a 58% growth in revenue makes me </t>
  </si>
  <si>
    <t>believe that this will continue to grow at a slow rate like this one we've seen</t>
  </si>
  <si>
    <t>Paid off debt for last acquisition within a year so I will assume that debt levels wont increase significantly</t>
  </si>
  <si>
    <t>PPS range</t>
  </si>
  <si>
    <t>Company</t>
  </si>
  <si>
    <t>Market Cap</t>
  </si>
  <si>
    <t>Sector</t>
  </si>
  <si>
    <t>nVent</t>
  </si>
  <si>
    <t>NVT</t>
  </si>
  <si>
    <t>Enclosures/Electrical Equiptment</t>
  </si>
  <si>
    <t>2025 total is 205 off management assumptions, assume that this growth continues into future</t>
  </si>
  <si>
    <t>LTM EBITDA</t>
  </si>
  <si>
    <t>LTM EV</t>
  </si>
  <si>
    <t>FWD P/E</t>
  </si>
  <si>
    <t>FWD EV/EBITDA</t>
  </si>
  <si>
    <t>FWD P/S</t>
  </si>
  <si>
    <t>LTM Sales</t>
  </si>
  <si>
    <t>Hubbell</t>
  </si>
  <si>
    <t>Legrand (ADR)</t>
  </si>
  <si>
    <t>LGRDY</t>
  </si>
  <si>
    <t>Emerson Electric</t>
  </si>
  <si>
    <t>Atkore Inc</t>
  </si>
  <si>
    <t>ATKR</t>
  </si>
  <si>
    <t>ABB</t>
  </si>
  <si>
    <t>ABBNY</t>
  </si>
  <si>
    <t>Eaton</t>
  </si>
  <si>
    <t>Vertiv</t>
  </si>
  <si>
    <t>VRT</t>
  </si>
  <si>
    <t>Data Center Infrastructure</t>
  </si>
  <si>
    <t>EBITDA Margin</t>
  </si>
  <si>
    <t xml:space="preserve">Acuity </t>
  </si>
  <si>
    <t>Electrical Equiptment</t>
  </si>
  <si>
    <t>Ametek</t>
  </si>
  <si>
    <t>Mean</t>
  </si>
  <si>
    <t>Q1</t>
  </si>
  <si>
    <t>Median</t>
  </si>
  <si>
    <t>Q3</t>
  </si>
  <si>
    <t>IQR</t>
  </si>
  <si>
    <t>Outlier Boundary</t>
  </si>
  <si>
    <t>(14.55, 28.48)</t>
  </si>
  <si>
    <t>(10.14, 20.61)</t>
  </si>
  <si>
    <t>(1.4, 5.72)</t>
  </si>
  <si>
    <t>Mean W/O Ouliers</t>
  </si>
  <si>
    <t>NVT Comparable Company PPS Valuation</t>
  </si>
  <si>
    <t>Q1 Price</t>
  </si>
  <si>
    <t>Q3 Price</t>
  </si>
  <si>
    <t>Forward EBITDA forecast not available</t>
  </si>
  <si>
    <t>Forward EPS forecast is ~ $4</t>
  </si>
  <si>
    <t>n/a</t>
  </si>
  <si>
    <t>reinvestment from those industries (paired with growing backlog) might help reboost the CAGR given larger revenue growth in the following years, likely driving the CAGR up by about 3-4%. Giving roughly a 13 % CAGR.</t>
  </si>
  <si>
    <t xml:space="preserve">In that same time period, electronic enclosure market had a 5.9% CAGR in the US and a 12.3% CAGR in the rest of the world (CAGR if weighted similar to nvent's sales demographic would be 7.82%) </t>
  </si>
  <si>
    <t xml:space="preserve">Adidtionally, decrease in organic growth was due to a significant decrease in industrial and residential/commercial sales growth, likely due to raising rates. If rates were to continue at the current rate or even drop a little, </t>
  </si>
  <si>
    <t>Forecasted CAGR of 6.86% and 7.7% through 2030 for US and globally, respectively. Factoring out the US given current values gives a 8% CAGR for the rest of the world giving a baseline 7.2% cagr if weighted similar to sales demographics</t>
  </si>
  <si>
    <t xml:space="preserve">Current forecasts expect a CAGR of 5% in the US and 5.3% outside the US for electrical equiptment through 2030. If sales volume from residential/commerical and industrial sectors rebound and a slight 1-2%CAGR premium over global CAGR is assumed due to overall trend of </t>
  </si>
  <si>
    <t>positive yet decreasing premium over global CAGR, it is possible that organic sales CAGR is close to the 6.5% level</t>
  </si>
  <si>
    <t>Total D&amp; A considering Management Forecast</t>
  </si>
  <si>
    <t>WACC ↓/Terminal Growth Rate →</t>
  </si>
  <si>
    <t>median</t>
  </si>
  <si>
    <t>q1</t>
  </si>
  <si>
    <t>q3</t>
  </si>
  <si>
    <t>upper bound</t>
  </si>
  <si>
    <t>lower bound</t>
  </si>
  <si>
    <t>iqr</t>
  </si>
  <si>
    <t>67.87-96.00</t>
  </si>
  <si>
    <t>Past 4 years have seen a CAGR of organic sales of 13.4%, with it dropping slowing down significantly in the past 2  years.  (Since 2022, CAGR is 10.1%)</t>
  </si>
  <si>
    <t xml:space="preserve"> Revenue Growth</t>
  </si>
  <si>
    <t xml:space="preserve">Since 2021, nVent's enclosure business CAGR premium relative to worldwide CARG has been decreasing, however has still remained positive until these past couple of years.Given this trend, Id assume nVent's enclose business CAGR premium to become a non-factor in the coming years. </t>
  </si>
  <si>
    <t xml:space="preserve">DPO decreased paired with a 7% AP growth despite seeing a 53% growth in COGS makes me </t>
  </si>
  <si>
    <t>Cost of Debt:</t>
  </si>
  <si>
    <t>Forecasted PPS</t>
  </si>
  <si>
    <t>Operating Margin</t>
  </si>
  <si>
    <t>$MM</t>
  </si>
  <si>
    <t>S&amp;P500</t>
  </si>
  <si>
    <t>XLI</t>
  </si>
  <si>
    <t>Date</t>
  </si>
  <si>
    <t>Systems Protection</t>
  </si>
  <si>
    <t>Electrical Connections</t>
  </si>
  <si>
    <t>North America</t>
  </si>
  <si>
    <t>Rest of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</si>
</sst>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_);\(0.00\)"/>
    <numFmt numFmtId="165" formatCode="0.0%"/>
    <numFmt numFmtId="166" formatCode="0.0000%"/>
    <numFmt numFmtId="167" formatCode="0.000000000000000%"/>
  </numFmts>
  <fonts count="11" x14ac:knownFonts="1">
    <font>
      <sz val="11"/>
      <color theme="1"/>
      <name val="Aptos Narrow"/>
      <family val="2"/>
      <scheme val="minor"/>
    </font>
    <font>
      <b/>
      <sz val="11"/>
      <color theme="1"/>
      <name val="Aptos Narrow"/>
      <family val="2"/>
      <scheme val="minor"/>
    </font>
    <font>
      <b/>
      <sz val="22"/>
      <color theme="1"/>
      <name val="Aptos Narrow"/>
      <family val="2"/>
      <scheme val="minor"/>
    </font>
    <font>
      <sz val="11"/>
      <color theme="1"/>
      <name val="Aptos Narrow"/>
      <family val="2"/>
      <scheme val="minor"/>
    </font>
    <font>
      <u/>
      <sz val="11"/>
      <color theme="1"/>
      <name val="Aptos Narrow"/>
      <family val="2"/>
      <scheme val="minor"/>
    </font>
    <font>
      <b/>
      <u/>
      <sz val="11"/>
      <color theme="1"/>
      <name val="Aptos Narrow"/>
      <family val="2"/>
      <scheme val="minor"/>
    </font>
    <font>
      <sz val="10"/>
      <color theme="1"/>
      <name val="Aptos Narrow"/>
      <family val="2"/>
      <scheme val="minor"/>
    </font>
    <font>
      <b/>
      <i/>
      <sz val="11"/>
      <color theme="1"/>
      <name val="Aptos Narrow"/>
      <family val="2"/>
      <scheme val="minor"/>
    </font>
    <font>
      <i/>
      <sz val="11"/>
      <color theme="1"/>
      <name val="Aptos Narrow"/>
      <family val="2"/>
      <scheme val="minor"/>
    </font>
    <font>
      <b/>
      <u/>
      <sz val="24"/>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4">
    <xf numFmtId="0" fontId="0" fillId="0" borderId="0"/>
    <xf numFmtId="43" fontId="3" fillId="0" borderId="0" applyFont="0" applyFill="0" applyBorder="0" applyAlignment="0" applyProtection="0"/>
    <xf numFmtId="9" fontId="3" fillId="0" borderId="0" applyFont="0" applyFill="0" applyBorder="0" applyAlignment="0" applyProtection="0"/>
    <xf numFmtId="0" fontId="10" fillId="0" borderId="0" applyNumberFormat="0" applyFill="0" applyBorder="0" applyAlignment="0" applyProtection="0"/>
  </cellStyleXfs>
  <cellXfs count="79">
    <xf numFmtId="0" fontId="0" fillId="0" borderId="0" xfId="0"/>
    <xf numFmtId="0" fontId="2" fillId="0" borderId="0" xfId="0" applyFont="1" applyAlignment="1">
      <alignment horizontal="centerContinuous"/>
    </xf>
    <xf numFmtId="0" fontId="0" fillId="0" borderId="0" xfId="0" applyAlignment="1">
      <alignment horizontal="centerContinuous"/>
    </xf>
    <xf numFmtId="0" fontId="0" fillId="0" borderId="1" xfId="0" applyBorder="1"/>
    <xf numFmtId="0" fontId="2" fillId="0" borderId="1" xfId="0" applyFont="1" applyBorder="1" applyAlignment="1">
      <alignment horizontal="centerContinuous"/>
    </xf>
    <xf numFmtId="0" fontId="0" fillId="0" borderId="1" xfId="0" applyBorder="1" applyAlignment="1">
      <alignment horizontal="centerContinuous"/>
    </xf>
    <xf numFmtId="0" fontId="1" fillId="0" borderId="0" xfId="0" applyFont="1"/>
    <xf numFmtId="0" fontId="1" fillId="0" borderId="2" xfId="0" applyFont="1" applyBorder="1"/>
    <xf numFmtId="10" fontId="0" fillId="0" borderId="0" xfId="0" applyNumberFormat="1"/>
    <xf numFmtId="0" fontId="5" fillId="0" borderId="0" xfId="0" applyFont="1"/>
    <xf numFmtId="0" fontId="6" fillId="0" borderId="0" xfId="0" applyFont="1" applyAlignment="1">
      <alignment horizontal="right"/>
    </xf>
    <xf numFmtId="0" fontId="7" fillId="0" borderId="1" xfId="0" applyFont="1" applyBorder="1" applyAlignment="1">
      <alignment horizontal="centerContinuous"/>
    </xf>
    <xf numFmtId="0" fontId="8" fillId="0" borderId="0" xfId="0" applyFont="1"/>
    <xf numFmtId="0" fontId="0" fillId="0" borderId="0" xfId="0" applyFont="1"/>
    <xf numFmtId="0" fontId="0" fillId="0" borderId="0" xfId="0" applyBorder="1"/>
    <xf numFmtId="0" fontId="8" fillId="0" borderId="0" xfId="0" applyFont="1" applyBorder="1"/>
    <xf numFmtId="0" fontId="4" fillId="0" borderId="0" xfId="0" applyFont="1"/>
    <xf numFmtId="9" fontId="0" fillId="0" borderId="0" xfId="2" applyFont="1"/>
    <xf numFmtId="164" fontId="0" fillId="0" borderId="0" xfId="0" applyNumberFormat="1" applyAlignment="1">
      <alignment horizontal="right"/>
    </xf>
    <xf numFmtId="0" fontId="0" fillId="0" borderId="0" xfId="0" applyAlignment="1">
      <alignment horizontal="right"/>
    </xf>
    <xf numFmtId="0" fontId="1" fillId="0" borderId="0" xfId="0" applyFont="1" applyAlignment="1">
      <alignment horizontal="right"/>
    </xf>
    <xf numFmtId="164" fontId="0" fillId="0" borderId="0" xfId="0" applyNumberFormat="1"/>
    <xf numFmtId="2" fontId="0" fillId="0" borderId="0" xfId="0" applyNumberFormat="1"/>
    <xf numFmtId="0" fontId="5" fillId="0" borderId="1" xfId="0" applyFont="1" applyBorder="1"/>
    <xf numFmtId="2" fontId="0" fillId="0" borderId="1" xfId="0" applyNumberFormat="1" applyBorder="1"/>
    <xf numFmtId="39" fontId="0" fillId="0" borderId="0" xfId="0" applyNumberFormat="1" applyAlignment="1">
      <alignment horizontal="right"/>
    </xf>
    <xf numFmtId="4" fontId="0" fillId="0" borderId="0" xfId="1" applyNumberFormat="1" applyFont="1" applyFill="1" applyBorder="1" applyProtection="1"/>
    <xf numFmtId="4" fontId="0" fillId="0" borderId="0" xfId="1" applyNumberFormat="1" applyFont="1" applyFill="1" applyBorder="1" applyAlignment="1" applyProtection="1">
      <alignment horizontal="left"/>
    </xf>
    <xf numFmtId="0" fontId="5" fillId="0" borderId="0" xfId="0" applyFont="1" applyBorder="1"/>
    <xf numFmtId="2" fontId="0" fillId="0" borderId="0" xfId="0" applyNumberFormat="1" applyBorder="1"/>
    <xf numFmtId="0" fontId="2" fillId="0" borderId="0" xfId="0" applyFont="1" applyBorder="1" applyAlignment="1">
      <alignment horizontal="centerContinuous"/>
    </xf>
    <xf numFmtId="0" fontId="0" fillId="0" borderId="0" xfId="0" applyFont="1" applyBorder="1" applyAlignment="1">
      <alignment horizontal="centerContinuous"/>
    </xf>
    <xf numFmtId="0" fontId="0" fillId="0" borderId="1" xfId="0" applyFont="1" applyBorder="1" applyAlignment="1">
      <alignment horizontal="right"/>
    </xf>
    <xf numFmtId="0" fontId="0" fillId="0" borderId="1" xfId="0" applyFont="1" applyBorder="1"/>
    <xf numFmtId="0" fontId="0" fillId="0" borderId="1" xfId="0" applyFont="1" applyFill="1" applyBorder="1" applyAlignment="1">
      <alignment horizontal="centerContinuous"/>
    </xf>
    <xf numFmtId="0" fontId="9" fillId="0" borderId="0" xfId="0" applyFont="1"/>
    <xf numFmtId="0" fontId="10" fillId="0" borderId="0" xfId="3"/>
    <xf numFmtId="0" fontId="1" fillId="0" borderId="1" xfId="0" applyFont="1" applyBorder="1"/>
    <xf numFmtId="0" fontId="0" fillId="0" borderId="0" xfId="0" applyFill="1" applyBorder="1"/>
    <xf numFmtId="165" fontId="0" fillId="0" borderId="0" xfId="2" applyNumberFormat="1" applyFont="1"/>
    <xf numFmtId="165" fontId="0" fillId="0" borderId="1" xfId="2" applyNumberFormat="1" applyFont="1" applyBorder="1"/>
    <xf numFmtId="165" fontId="0" fillId="0" borderId="0" xfId="0" applyNumberFormat="1"/>
    <xf numFmtId="165" fontId="0" fillId="2" borderId="0" xfId="0" applyNumberFormat="1" applyFill="1"/>
    <xf numFmtId="165" fontId="0" fillId="2" borderId="0" xfId="2" applyNumberFormat="1" applyFont="1" applyFill="1"/>
    <xf numFmtId="10" fontId="0" fillId="0" borderId="0" xfId="2" applyNumberFormat="1" applyFont="1"/>
    <xf numFmtId="4" fontId="8" fillId="0" borderId="0" xfId="1" applyNumberFormat="1" applyFont="1" applyFill="1" applyBorder="1" applyProtection="1"/>
    <xf numFmtId="4" fontId="8" fillId="0" borderId="0" xfId="1" applyNumberFormat="1" applyFont="1" applyFill="1" applyBorder="1" applyAlignment="1" applyProtection="1">
      <alignment horizontal="left"/>
    </xf>
    <xf numFmtId="39" fontId="0" fillId="0" borderId="0" xfId="0" applyNumberFormat="1"/>
    <xf numFmtId="9" fontId="0" fillId="0" borderId="0" xfId="2" applyFont="1" applyBorder="1"/>
    <xf numFmtId="165" fontId="0" fillId="0" borderId="0" xfId="0" applyNumberFormat="1" applyFill="1"/>
    <xf numFmtId="167" fontId="0" fillId="0" borderId="0" xfId="0" applyNumberFormat="1"/>
    <xf numFmtId="166" fontId="0" fillId="0" borderId="0" xfId="0" applyNumberFormat="1"/>
    <xf numFmtId="10" fontId="0" fillId="0" borderId="1" xfId="0" applyNumberFormat="1" applyFont="1" applyBorder="1"/>
    <xf numFmtId="0" fontId="0" fillId="0" borderId="4" xfId="0" applyBorder="1" applyAlignment="1">
      <alignment horizontal="right"/>
    </xf>
    <xf numFmtId="10" fontId="0" fillId="0" borderId="3" xfId="0" applyNumberFormat="1" applyBorder="1"/>
    <xf numFmtId="10" fontId="0" fillId="0" borderId="5" xfId="0" applyNumberFormat="1" applyFont="1" applyBorder="1"/>
    <xf numFmtId="0" fontId="0" fillId="0" borderId="6" xfId="0" applyBorder="1"/>
    <xf numFmtId="10" fontId="0" fillId="0" borderId="7" xfId="0" applyNumberFormat="1" applyBorder="1"/>
    <xf numFmtId="0" fontId="0" fillId="0" borderId="8" xfId="0" applyBorder="1"/>
    <xf numFmtId="0" fontId="1" fillId="0" borderId="4" xfId="0" applyFont="1" applyBorder="1"/>
    <xf numFmtId="0" fontId="1" fillId="0" borderId="5" xfId="0" applyFont="1" applyBorder="1"/>
    <xf numFmtId="0" fontId="1" fillId="0" borderId="9" xfId="0" applyFont="1" applyBorder="1"/>
    <xf numFmtId="0" fontId="0" fillId="0" borderId="0" xfId="0" applyBorder="1" applyAlignment="1">
      <alignment horizontal="centerContinuous"/>
    </xf>
    <xf numFmtId="0" fontId="0" fillId="0" borderId="4" xfId="0" applyBorder="1"/>
    <xf numFmtId="0" fontId="0" fillId="0" borderId="5" xfId="0" applyBorder="1"/>
    <xf numFmtId="0" fontId="0" fillId="0" borderId="9" xfId="0" applyBorder="1"/>
    <xf numFmtId="2" fontId="0" fillId="0" borderId="10" xfId="0" applyNumberFormat="1" applyBorder="1"/>
    <xf numFmtId="0" fontId="0" fillId="0" borderId="10" xfId="0" applyBorder="1"/>
    <xf numFmtId="0" fontId="0" fillId="0" borderId="7" xfId="0" applyBorder="1"/>
    <xf numFmtId="2" fontId="0" fillId="0" borderId="8" xfId="0" applyNumberFormat="1" applyBorder="1"/>
    <xf numFmtId="2" fontId="0" fillId="0" borderId="11" xfId="0" applyNumberFormat="1" applyBorder="1"/>
    <xf numFmtId="2" fontId="0" fillId="0" borderId="12" xfId="0" applyNumberFormat="1" applyBorder="1"/>
    <xf numFmtId="0" fontId="0" fillId="0" borderId="13" xfId="0" applyFill="1" applyBorder="1"/>
    <xf numFmtId="0" fontId="0" fillId="0" borderId="0" xfId="0" applyAlignment="1"/>
    <xf numFmtId="2" fontId="0" fillId="0" borderId="6" xfId="0" applyNumberFormat="1" applyBorder="1"/>
    <xf numFmtId="0" fontId="0" fillId="0" borderId="11" xfId="0" applyBorder="1"/>
    <xf numFmtId="0" fontId="0" fillId="2" borderId="8" xfId="0" applyFill="1" applyBorder="1"/>
    <xf numFmtId="14" fontId="0" fillId="0" borderId="0" xfId="0" applyNumberFormat="1"/>
    <xf numFmtId="9" fontId="0" fillId="0" borderId="0" xfId="0" applyNumberFormat="1"/>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YTD</a:t>
            </a:r>
            <a:r>
              <a:rPr lang="en-US" baseline="0"/>
              <a:t> Returns on $100 invested in the S&amp;P500, XLI ETF and nVent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S&amp;P500</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2"/>
              <c:layout>
                <c:manualLayout>
                  <c:x val="-1.0185067526415994E-16"/>
                  <c:y val="2.31803430690774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D8-4E74-BCE5-2E5C3E638E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'Miscellaneous Charts'!$A$2:$A$14</c:f>
              <c:numCache>
                <c:formatCode>m/d/yyyy</c:formatCode>
                <c:ptCount val="13"/>
                <c:pt idx="0">
                  <c:v>45659</c:v>
                </c:pt>
                <c:pt idx="1">
                  <c:v>45688</c:v>
                </c:pt>
                <c:pt idx="2">
                  <c:v>45716</c:v>
                </c:pt>
                <c:pt idx="3">
                  <c:v>45747</c:v>
                </c:pt>
                <c:pt idx="4">
                  <c:v>45755</c:v>
                </c:pt>
                <c:pt idx="5">
                  <c:v>45777</c:v>
                </c:pt>
                <c:pt idx="6">
                  <c:v>45807</c:v>
                </c:pt>
                <c:pt idx="7">
                  <c:v>45838</c:v>
                </c:pt>
                <c:pt idx="8">
                  <c:v>45869</c:v>
                </c:pt>
                <c:pt idx="9">
                  <c:v>45898</c:v>
                </c:pt>
                <c:pt idx="10">
                  <c:v>45930</c:v>
                </c:pt>
                <c:pt idx="11">
                  <c:v>45961</c:v>
                </c:pt>
                <c:pt idx="12">
                  <c:v>45979</c:v>
                </c:pt>
              </c:numCache>
            </c:numRef>
          </c:cat>
          <c:val>
            <c:numRef>
              <c:f>'Miscellaneous Charts'!$C$2:$C$14</c:f>
              <c:numCache>
                <c:formatCode>General</c:formatCode>
                <c:ptCount val="13"/>
                <c:pt idx="0">
                  <c:v>100</c:v>
                </c:pt>
                <c:pt idx="1">
                  <c:v>102.9305365039064</c:v>
                </c:pt>
                <c:pt idx="2">
                  <c:v>101.46458665258027</c:v>
                </c:pt>
                <c:pt idx="3">
                  <c:v>95.62583602423085</c:v>
                </c:pt>
                <c:pt idx="4">
                  <c:v>84.906322686183131</c:v>
                </c:pt>
                <c:pt idx="5">
                  <c:v>94.896695095040513</c:v>
                </c:pt>
                <c:pt idx="6">
                  <c:v>100.74328411617861</c:v>
                </c:pt>
                <c:pt idx="7">
                  <c:v>105.73225072632933</c:v>
                </c:pt>
                <c:pt idx="8">
                  <c:v>108.02310621874229</c:v>
                </c:pt>
                <c:pt idx="9">
                  <c:v>110.08272912388921</c:v>
                </c:pt>
                <c:pt idx="10">
                  <c:v>113.97125354644673</c:v>
                </c:pt>
                <c:pt idx="11">
                  <c:v>116.55690076765127</c:v>
                </c:pt>
                <c:pt idx="12">
                  <c:v>112.75902906169324</c:v>
                </c:pt>
              </c:numCache>
            </c:numRef>
          </c:val>
          <c:smooth val="0"/>
          <c:extLst>
            <c:ext xmlns:c16="http://schemas.microsoft.com/office/drawing/2014/chart" uri="{C3380CC4-5D6E-409C-BE32-E72D297353CC}">
              <c16:uniqueId val="{00000000-79D8-4E74-BCE5-2E5C3E638E66}"/>
            </c:ext>
          </c:extLst>
        </c:ser>
        <c:ser>
          <c:idx val="1"/>
          <c:order val="1"/>
          <c:tx>
            <c:v>XLI</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2"/>
              <c:layout>
                <c:manualLayout>
                  <c:x val="-1.0185067526415994E-16"/>
                  <c:y val="-2.78164116828929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D8-4E74-BCE5-2E5C3E638E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'Miscellaneous Charts'!$A$2:$A$14</c:f>
              <c:numCache>
                <c:formatCode>m/d/yyyy</c:formatCode>
                <c:ptCount val="13"/>
                <c:pt idx="0">
                  <c:v>45659</c:v>
                </c:pt>
                <c:pt idx="1">
                  <c:v>45688</c:v>
                </c:pt>
                <c:pt idx="2">
                  <c:v>45716</c:v>
                </c:pt>
                <c:pt idx="3">
                  <c:v>45747</c:v>
                </c:pt>
                <c:pt idx="4">
                  <c:v>45755</c:v>
                </c:pt>
                <c:pt idx="5">
                  <c:v>45777</c:v>
                </c:pt>
                <c:pt idx="6">
                  <c:v>45807</c:v>
                </c:pt>
                <c:pt idx="7">
                  <c:v>45838</c:v>
                </c:pt>
                <c:pt idx="8">
                  <c:v>45869</c:v>
                </c:pt>
                <c:pt idx="9">
                  <c:v>45898</c:v>
                </c:pt>
                <c:pt idx="10">
                  <c:v>45930</c:v>
                </c:pt>
                <c:pt idx="11">
                  <c:v>45961</c:v>
                </c:pt>
                <c:pt idx="12">
                  <c:v>45979</c:v>
                </c:pt>
              </c:numCache>
            </c:numRef>
          </c:cat>
          <c:val>
            <c:numRef>
              <c:f>'Miscellaneous Charts'!$E$2:$E$14</c:f>
              <c:numCache>
                <c:formatCode>General</c:formatCode>
                <c:ptCount val="13"/>
                <c:pt idx="0">
                  <c:v>100</c:v>
                </c:pt>
                <c:pt idx="1">
                  <c:v>105.36938309215536</c:v>
                </c:pt>
                <c:pt idx="2">
                  <c:v>103.83092155369383</c:v>
                </c:pt>
                <c:pt idx="3">
                  <c:v>99.824828636709796</c:v>
                </c:pt>
                <c:pt idx="4">
                  <c:v>88.667174409748654</c:v>
                </c:pt>
                <c:pt idx="5">
                  <c:v>100.01523229245998</c:v>
                </c:pt>
                <c:pt idx="6">
                  <c:v>108.77380045696876</c:v>
                </c:pt>
                <c:pt idx="7">
                  <c:v>112.35338918507234</c:v>
                </c:pt>
                <c:pt idx="8">
                  <c:v>115.77303884234574</c:v>
                </c:pt>
                <c:pt idx="9">
                  <c:v>115.77303884234574</c:v>
                </c:pt>
                <c:pt idx="10">
                  <c:v>117.46382330540742</c:v>
                </c:pt>
                <c:pt idx="11">
                  <c:v>118.09596344249805</c:v>
                </c:pt>
                <c:pt idx="12">
                  <c:v>114.12795125666408</c:v>
                </c:pt>
              </c:numCache>
            </c:numRef>
          </c:val>
          <c:smooth val="0"/>
          <c:extLst>
            <c:ext xmlns:c16="http://schemas.microsoft.com/office/drawing/2014/chart" uri="{C3380CC4-5D6E-409C-BE32-E72D297353CC}">
              <c16:uniqueId val="{00000001-79D8-4E74-BCE5-2E5C3E638E66}"/>
            </c:ext>
          </c:extLst>
        </c:ser>
        <c:ser>
          <c:idx val="2"/>
          <c:order val="2"/>
          <c:tx>
            <c:v>NVT</c:v>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D8-4E74-BCE5-2E5C3E638E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'Miscellaneous Charts'!$A$2:$A$14</c:f>
              <c:numCache>
                <c:formatCode>m/d/yyyy</c:formatCode>
                <c:ptCount val="13"/>
                <c:pt idx="0">
                  <c:v>45659</c:v>
                </c:pt>
                <c:pt idx="1">
                  <c:v>45688</c:v>
                </c:pt>
                <c:pt idx="2">
                  <c:v>45716</c:v>
                </c:pt>
                <c:pt idx="3">
                  <c:v>45747</c:v>
                </c:pt>
                <c:pt idx="4">
                  <c:v>45755</c:v>
                </c:pt>
                <c:pt idx="5">
                  <c:v>45777</c:v>
                </c:pt>
                <c:pt idx="6">
                  <c:v>45807</c:v>
                </c:pt>
                <c:pt idx="7">
                  <c:v>45838</c:v>
                </c:pt>
                <c:pt idx="8">
                  <c:v>45869</c:v>
                </c:pt>
                <c:pt idx="9">
                  <c:v>45898</c:v>
                </c:pt>
                <c:pt idx="10">
                  <c:v>45930</c:v>
                </c:pt>
                <c:pt idx="11">
                  <c:v>45961</c:v>
                </c:pt>
                <c:pt idx="12">
                  <c:v>45979</c:v>
                </c:pt>
              </c:numCache>
            </c:numRef>
          </c:cat>
          <c:val>
            <c:numRef>
              <c:f>'Miscellaneous Charts'!$G$2:$G$14</c:f>
              <c:numCache>
                <c:formatCode>General</c:formatCode>
                <c:ptCount val="13"/>
                <c:pt idx="0">
                  <c:v>100</c:v>
                </c:pt>
                <c:pt idx="1">
                  <c:v>95.077417470055522</c:v>
                </c:pt>
                <c:pt idx="2">
                  <c:v>88.139059304703494</c:v>
                </c:pt>
                <c:pt idx="3">
                  <c:v>76.57026000584284</c:v>
                </c:pt>
                <c:pt idx="4">
                  <c:v>66.023955594507754</c:v>
                </c:pt>
                <c:pt idx="5">
                  <c:v>80.207420391469469</c:v>
                </c:pt>
                <c:pt idx="6">
                  <c:v>96.114519427402854</c:v>
                </c:pt>
                <c:pt idx="7">
                  <c:v>106.9967864446392</c:v>
                </c:pt>
                <c:pt idx="8">
                  <c:v>114.54864154250656</c:v>
                </c:pt>
                <c:pt idx="9">
                  <c:v>132.03330411919367</c:v>
                </c:pt>
                <c:pt idx="10">
                  <c:v>144.0841367221735</c:v>
                </c:pt>
                <c:pt idx="11">
                  <c:v>167.03184341221146</c:v>
                </c:pt>
                <c:pt idx="12">
                  <c:v>152.36634531113054</c:v>
                </c:pt>
              </c:numCache>
            </c:numRef>
          </c:val>
          <c:smooth val="0"/>
          <c:extLst>
            <c:ext xmlns:c16="http://schemas.microsoft.com/office/drawing/2014/chart" uri="{C3380CC4-5D6E-409C-BE32-E72D297353CC}">
              <c16:uniqueId val="{00000002-79D8-4E74-BCE5-2E5C3E638E66}"/>
            </c:ext>
          </c:extLst>
        </c:ser>
        <c:dLbls>
          <c:showLegendKey val="0"/>
          <c:showVal val="0"/>
          <c:showCatName val="0"/>
          <c:showSerName val="0"/>
          <c:showPercent val="0"/>
          <c:showBubbleSize val="0"/>
        </c:dLbls>
        <c:marker val="1"/>
        <c:smooth val="0"/>
        <c:axId val="1721720079"/>
        <c:axId val="1721721519"/>
      </c:lineChart>
      <c:dateAx>
        <c:axId val="1721720079"/>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721519"/>
        <c:crosses val="autoZero"/>
        <c:auto val="1"/>
        <c:lblOffset val="100"/>
        <c:baseTimeUnit val="days"/>
      </c:dateAx>
      <c:valAx>
        <c:axId val="172172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Dollars</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72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Broken Down by Business Segment for 2024</a:t>
            </a:r>
          </a:p>
          <a:p>
            <a:pPr>
              <a:defRPr/>
            </a:pPr>
            <a:endParaRPr lang="en-US"/>
          </a:p>
        </c:rich>
      </c:tx>
      <c:layout>
        <c:manualLayout>
          <c:xMode val="edge"/>
          <c:yMode val="edge"/>
          <c:x val="0.12705817020685825"/>
          <c:y val="3.70627750752837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65-477E-92B9-2D9749049F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65-477E-92B9-2D9749049F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'Miscellaneous Charts'!$Q$1:$R$1</c:f>
              <c:strCache>
                <c:ptCount val="2"/>
                <c:pt idx="0">
                  <c:v>Systems Protection</c:v>
                </c:pt>
                <c:pt idx="1">
                  <c:v>Electrical Connections</c:v>
                </c:pt>
              </c:strCache>
            </c:strRef>
          </c:cat>
          <c:val>
            <c:numRef>
              <c:f>'Miscellaneous Charts'!$Q$2:$R$2</c:f>
              <c:numCache>
                <c:formatCode>0%</c:formatCode>
                <c:ptCount val="2"/>
                <c:pt idx="0">
                  <c:v>0.61</c:v>
                </c:pt>
                <c:pt idx="1">
                  <c:v>0.39</c:v>
                </c:pt>
              </c:numCache>
            </c:numRef>
          </c:val>
          <c:extLst>
            <c:ext xmlns:c16="http://schemas.microsoft.com/office/drawing/2014/chart" uri="{C3380CC4-5D6E-409C-BE32-E72D297353CC}">
              <c16:uniqueId val="{00000000-864B-4327-9046-7EAC5AADDF9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'Miscellaneous Charts'!$R$1</c:f>
              <c:strCache>
                <c:ptCount val="1"/>
                <c:pt idx="0">
                  <c:v>Electrical Connections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F4-4626-B1B7-A5DD89154D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F4-4626-B1B7-A5DD89154D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2</c:v>
              </c:pt>
              <c:pt idx="1">
                <c:v>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'Miscellaneous Charts'!$R$2:$R$4</c15:sqref>
                  </c15:fullRef>
                </c:ext>
              </c:extLst>
              <c:f>'Miscellaneous Charts'!$R$3:$R$4</c:f>
              <c:numCache>
                <c:formatCode>0%</c:formatCode>
                <c:ptCount val="2"/>
                <c:pt idx="0">
                  <c:v>0.71</c:v>
                </c:pt>
                <c:pt idx="1">
                  <c:v>0.28999999999999998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EC28-41DA-B9AD-D22BAB29EA3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D$6" fmlaRange="$C$17:$C$19" noThreeD="1" sel="2" val="0"/>
</file>

<file path=xl/ctrlProps/ctrlProp2.xml><?xml version="1.0" encoding="utf-8"?>
<formControlPr xmlns="http://schemas.microsoft.com/office/spreadsheetml/2009/9/main" objectType="Drop" dropStyle="combo" dx="22" fmlaLink="$D$6" fmlaRange="$D$17:$D$19" noThreeD="1" sel="2" val="0"/>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1152525</xdr:colOff>
          <xdr:row>5</xdr:row>
          <xdr:rowOff>28575</xdr:rowOff>
        </xdr:from>
        <xdr:to>
          <xdr:col>3</xdr:col>
          <xdr:colOff>742950</xdr:colOff>
          <xdr:row>6</xdr:row>
          <xdr:rowOff>38100</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1152525</xdr:colOff>
          <xdr:row>5</xdr:row>
          <xdr:rowOff>28575</xdr:rowOff>
        </xdr:from>
        <xdr:to>
          <xdr:col>3</xdr:col>
          <xdr:colOff>742950</xdr:colOff>
          <xdr:row>6</xdr:row>
          <xdr:rowOff>38100</xdr:rowOff>
        </xdr:to>
        <xdr:sp macro="" textlink="">
          <xdr:nvSpPr>
            <xdr:cNvPr id="2050" name="Drop Down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7</xdr:col>
      <xdr:colOff>215265</xdr:colOff>
      <xdr:row>0</xdr:row>
      <xdr:rowOff>40957</xdr:rowOff>
    </xdr:from>
    <xdr:to>
      <xdr:col>14</xdr:col>
      <xdr:colOff>520065</xdr:colOff>
      <xdr:row>15</xdr:row>
      <xdr:rowOff>67627</xdr:rowOff>
    </xdr:to>
    <xdr:graphicFrame macro="">
      <xdr:nvGraphicFramePr>
        <xdr:cNvPr id="2" name="Chart 1">
          <a:extLst>
            <a:ext uri="{FF2B5EF4-FFF2-40B4-BE49-F238E27FC236}">
              <a16:creationId xmlns:a16="http://schemas.microsoft.com/office/drawing/2014/main" id="{D96FAE26-5493-E491-B166-5E9A92BDF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15241</xdr:colOff>
      <xdr:row>5</xdr:row>
      <xdr:rowOff>6667</xdr:rowOff>
    </xdr:from>
    <xdr:to>
      <xdr:col>22</xdr:col>
      <xdr:colOff>62865</xdr:colOff>
      <xdr:row>20</xdr:row>
      <xdr:rowOff>31432</xdr:rowOff>
    </xdr:to>
    <xdr:graphicFrame macro="">
      <xdr:nvGraphicFramePr>
        <xdr:cNvPr id="4" name="Chart 3">
          <a:extLst>
            <a:ext uri="{FF2B5EF4-FFF2-40B4-BE49-F238E27FC236}">
              <a16:creationId xmlns:a16="http://schemas.microsoft.com/office/drawing/2014/main" id="{CC526A06-BB70-6369-0EF9-FB57A0961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199072</xdr:colOff>
      <xdr:row>4</xdr:row>
      <xdr:rowOff>107632</xdr:rowOff>
    </xdr:from>
    <xdr:to>
      <xdr:col>29</xdr:col>
      <xdr:colOff>496252</xdr:colOff>
      <xdr:row>19</xdr:row>
      <xdr:rowOff>134302</xdr:rowOff>
    </xdr:to>
    <xdr:graphicFrame macro="">
      <xdr:nvGraphicFramePr>
        <xdr:cNvPr id="7" name="Chart 6">
          <a:extLst>
            <a:ext uri="{FF2B5EF4-FFF2-40B4-BE49-F238E27FC236}">
              <a16:creationId xmlns:a16="http://schemas.microsoft.com/office/drawing/2014/main" id="{38740304-B428-3E6E-E968-EB7562CDE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malv\OneDrive%20-%20Princeton%20University\Documents\SBUX%203%20Statement%20Model%20+%20DCF.xlsx" TargetMode="External"/><Relationship Id="rId1" Type="http://schemas.openxmlformats.org/officeDocument/2006/relationships/externalLinkPath" Target="SBUX%203%20Statement%20Model%20+%20DC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ary"/>
      <sheetName val="Assumptions"/>
      <sheetName val="Scenarios"/>
      <sheetName val="Model"/>
      <sheetName val="DCF"/>
    </sheetNames>
    <sheetDataSet>
      <sheetData sheetId="0"/>
      <sheetData sheetId="1"/>
      <sheetData sheetId="2">
        <row r="6">
          <cell r="H6">
            <v>2025</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7.xml.rels><?xml version="1.0" encoding="UTF-8" standalone="yes"?>
<Relationships xmlns="http://schemas.openxmlformats.org/package/2006/relationships"><Relationship Id="rId1" Type="http://schemas.openxmlformats.org/officeDocument/2006/relationships/hyperlink" Target="https://pages.stern.nyu.edu/~adamodar/New_Home_Page/datafile/ratings.ht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07C7-993C-4041-9044-DB23D85D48C5}">
  <dimension ref="A1:AG50"/>
  <sheetViews>
    <sheetView topLeftCell="E2" zoomScale="80" zoomScaleNormal="80" workbookViewId="0">
      <selection activeCell="V38" sqref="V38"/>
    </sheetView>
  </sheetViews>
  <sheetFormatPr defaultRowHeight="15" x14ac:dyDescent="0.25"/>
  <cols>
    <col min="1" max="1" width="3.28515625" customWidth="1"/>
    <col min="19" max="19" width="2.7109375" customWidth="1"/>
    <col min="20" max="20" width="11.7109375" customWidth="1"/>
  </cols>
  <sheetData>
    <row r="1" spans="1:33" ht="28.5" x14ac:dyDescent="0.45">
      <c r="B1" s="1" t="s">
        <v>86</v>
      </c>
      <c r="C1" s="2"/>
      <c r="D1" s="2"/>
      <c r="E1" s="2"/>
      <c r="F1" s="2"/>
      <c r="G1" s="2"/>
      <c r="H1" s="2"/>
      <c r="I1" s="2"/>
      <c r="J1" s="2"/>
      <c r="K1" s="2"/>
      <c r="L1" s="2"/>
      <c r="M1" s="2"/>
      <c r="N1" s="2"/>
      <c r="O1" s="2"/>
      <c r="P1" s="2"/>
      <c r="Q1" s="2"/>
    </row>
    <row r="2" spans="1:33" ht="28.5" x14ac:dyDescent="0.45">
      <c r="B2" s="1" t="s">
        <v>17</v>
      </c>
      <c r="C2" s="2"/>
      <c r="D2" s="2"/>
      <c r="E2" s="2"/>
      <c r="F2" s="2"/>
      <c r="G2" s="2"/>
      <c r="H2" s="2"/>
      <c r="I2" s="2"/>
      <c r="J2" s="2"/>
      <c r="K2" s="2"/>
      <c r="L2" s="2"/>
      <c r="M2" s="2"/>
      <c r="N2" s="2"/>
      <c r="O2" s="2"/>
      <c r="P2" s="2"/>
      <c r="Q2" s="2"/>
    </row>
    <row r="3" spans="1:33" x14ac:dyDescent="0.25">
      <c r="A3" s="3"/>
      <c r="B3" s="3"/>
      <c r="C3" s="3"/>
      <c r="D3" s="3"/>
      <c r="E3" s="3"/>
      <c r="F3" s="3"/>
      <c r="G3" s="3"/>
      <c r="H3" s="3"/>
      <c r="I3" s="3"/>
      <c r="J3" s="3"/>
      <c r="K3" s="3"/>
      <c r="L3" s="3"/>
      <c r="M3" s="3"/>
      <c r="N3" s="3"/>
      <c r="O3" s="3"/>
      <c r="P3" s="3"/>
      <c r="Q3" s="3"/>
      <c r="S3" s="3" t="s">
        <v>89</v>
      </c>
    </row>
    <row r="4" spans="1:33" x14ac:dyDescent="0.25">
      <c r="F4">
        <v>2021</v>
      </c>
      <c r="G4">
        <v>2022</v>
      </c>
      <c r="H4">
        <v>2023</v>
      </c>
      <c r="I4">
        <v>2024</v>
      </c>
      <c r="J4">
        <v>2025</v>
      </c>
      <c r="K4">
        <v>2026</v>
      </c>
      <c r="L4">
        <v>2027</v>
      </c>
      <c r="M4">
        <v>2028</v>
      </c>
      <c r="N4">
        <v>2029</v>
      </c>
      <c r="S4" t="s">
        <v>90</v>
      </c>
      <c r="T4" t="s">
        <v>93</v>
      </c>
    </row>
    <row r="5" spans="1:33" x14ac:dyDescent="0.25">
      <c r="F5" s="17"/>
      <c r="G5" s="17"/>
      <c r="H5" s="17"/>
      <c r="I5" s="17"/>
      <c r="J5" s="17"/>
      <c r="K5" s="17"/>
      <c r="L5" s="17"/>
      <c r="M5" s="17"/>
      <c r="N5" s="17"/>
      <c r="U5">
        <v>2021</v>
      </c>
      <c r="V5">
        <v>2022</v>
      </c>
      <c r="W5">
        <v>2023</v>
      </c>
      <c r="X5">
        <v>2024</v>
      </c>
      <c r="Y5">
        <v>2025</v>
      </c>
      <c r="Z5">
        <v>2026</v>
      </c>
      <c r="AA5">
        <v>2027</v>
      </c>
      <c r="AB5">
        <v>2028</v>
      </c>
      <c r="AC5">
        <v>2029</v>
      </c>
    </row>
    <row r="6" spans="1:33" x14ac:dyDescent="0.25">
      <c r="B6" t="s">
        <v>91</v>
      </c>
      <c r="F6" s="39">
        <f>U10</f>
        <v>0.30600000000000005</v>
      </c>
      <c r="G6" s="39">
        <f t="shared" ref="G6:N6" si="0">V10</f>
        <v>0.20800000000000002</v>
      </c>
      <c r="H6" s="39">
        <f t="shared" si="0"/>
        <v>6.8000000000000005E-2</v>
      </c>
      <c r="I6" s="39">
        <f t="shared" si="0"/>
        <v>0.13500000000000001</v>
      </c>
      <c r="J6" s="39">
        <f t="shared" si="0"/>
        <v>0.27027000000000001</v>
      </c>
      <c r="K6" s="39">
        <f t="shared" si="0"/>
        <v>0.11735000000000001</v>
      </c>
      <c r="L6" s="39">
        <f t="shared" si="0"/>
        <v>0.10727</v>
      </c>
      <c r="M6" s="39">
        <f t="shared" si="0"/>
        <v>8.7150000000000005E-2</v>
      </c>
      <c r="N6" s="39">
        <f t="shared" si="0"/>
        <v>7.6970000000000011E-2</v>
      </c>
      <c r="T6" t="s">
        <v>94</v>
      </c>
      <c r="U6" s="39">
        <v>0.16200000000000001</v>
      </c>
      <c r="V6" s="39">
        <v>7.8E-2</v>
      </c>
      <c r="W6" s="39">
        <v>6.0000000000000001E-3</v>
      </c>
      <c r="X6" s="39">
        <v>5.3999999999999999E-2</v>
      </c>
      <c r="Y6" s="39">
        <v>7.3999999999999996E-2</v>
      </c>
      <c r="Z6" s="39">
        <v>8.4000000000000005E-2</v>
      </c>
      <c r="AA6" s="39">
        <v>7.4999999999999997E-2</v>
      </c>
      <c r="AB6" s="39">
        <v>5.5E-2</v>
      </c>
      <c r="AC6" s="39">
        <v>4.4999999999999998E-2</v>
      </c>
    </row>
    <row r="7" spans="1:33" x14ac:dyDescent="0.25">
      <c r="B7" t="s">
        <v>92</v>
      </c>
      <c r="F7" s="39">
        <f>U31</f>
        <v>0.15500000000000003</v>
      </c>
      <c r="G7" s="39">
        <f t="shared" ref="G7:N7" si="1">V31</f>
        <v>0.20399999999999999</v>
      </c>
      <c r="H7" s="39">
        <f t="shared" si="1"/>
        <v>0.34299999999999997</v>
      </c>
      <c r="I7" s="39">
        <f t="shared" si="1"/>
        <v>0.113</v>
      </c>
      <c r="J7" s="39">
        <f t="shared" si="1"/>
        <v>0.30127000000000004</v>
      </c>
      <c r="K7" s="39">
        <f t="shared" si="1"/>
        <v>0.11435000000000001</v>
      </c>
      <c r="L7" s="39">
        <f t="shared" si="1"/>
        <v>0.11027000000000001</v>
      </c>
      <c r="M7" s="39">
        <f t="shared" si="1"/>
        <v>0.10414999999999999</v>
      </c>
      <c r="N7" s="39">
        <f t="shared" si="1"/>
        <v>9.2969999999999997E-2</v>
      </c>
      <c r="T7" t="s">
        <v>95</v>
      </c>
      <c r="U7" s="39">
        <v>7.0000000000000007E-2</v>
      </c>
      <c r="V7" s="39">
        <v>0.128</v>
      </c>
      <c r="W7" s="39">
        <v>5.2999999999999999E-2</v>
      </c>
      <c r="X7" s="39">
        <v>-4.0000000000000001E-3</v>
      </c>
      <c r="Y7" s="39">
        <f>0.7*0.022+0.3*0.0429</f>
        <v>2.8269999999999997E-2</v>
      </c>
      <c r="Z7" s="39">
        <f>0.7*0.022+0.3*0.0365</f>
        <v>2.6349999999999998E-2</v>
      </c>
      <c r="AA7" s="39">
        <f>0.7*0.022+0.3*0.0329</f>
        <v>2.5269999999999997E-2</v>
      </c>
      <c r="AB7" s="39">
        <f>0.7*0.022+0.3*0.0325</f>
        <v>2.5149999999999999E-2</v>
      </c>
      <c r="AC7" s="39">
        <f>0.7*0.022+0.3*0.0319</f>
        <v>2.4969999999999999E-2</v>
      </c>
      <c r="AE7" t="s">
        <v>105</v>
      </c>
    </row>
    <row r="8" spans="1:33" x14ac:dyDescent="0.25">
      <c r="B8" t="s">
        <v>18</v>
      </c>
      <c r="F8" s="44">
        <f>'Financial Forecast + DCF'!G17</f>
        <v>0.61689386532092727</v>
      </c>
      <c r="G8" s="44">
        <f>'Financial Forecast + DCF'!H17</f>
        <v>0.64145353143653872</v>
      </c>
      <c r="H8" s="44">
        <f>'Financial Forecast + DCF'!I17</f>
        <v>0.59713739742965266</v>
      </c>
      <c r="I8" s="44">
        <f>'Financial Forecast + DCF'!J17</f>
        <v>0.59778450484015833</v>
      </c>
      <c r="J8" s="44">
        <v>0.60699999999999998</v>
      </c>
      <c r="K8" s="44">
        <v>0.6</v>
      </c>
      <c r="L8" s="44">
        <v>0.59399999999999997</v>
      </c>
      <c r="M8" s="44">
        <v>0.58699999999999997</v>
      </c>
      <c r="N8" s="44">
        <v>0.57999999999999996</v>
      </c>
      <c r="T8" t="s">
        <v>96</v>
      </c>
      <c r="U8" s="39">
        <v>5.7000000000000002E-2</v>
      </c>
      <c r="V8" s="39">
        <v>3.7999999999999999E-2</v>
      </c>
      <c r="W8" s="39">
        <v>8.0000000000000002E-3</v>
      </c>
      <c r="X8" s="39">
        <v>8.5999999999999993E-2</v>
      </c>
      <c r="Y8" s="43">
        <v>0.16800000000000001</v>
      </c>
      <c r="Z8" s="39">
        <v>7.0000000000000001E-3</v>
      </c>
      <c r="AA8" s="39">
        <f>Z8</f>
        <v>7.0000000000000001E-3</v>
      </c>
      <c r="AB8" s="39">
        <f>AA8</f>
        <v>7.0000000000000001E-3</v>
      </c>
      <c r="AC8" s="39">
        <f>AB8</f>
        <v>7.0000000000000001E-3</v>
      </c>
      <c r="AE8" t="s">
        <v>106</v>
      </c>
      <c r="AG8" t="s">
        <v>134</v>
      </c>
    </row>
    <row r="9" spans="1:33" x14ac:dyDescent="0.25">
      <c r="B9" t="s">
        <v>19</v>
      </c>
      <c r="F9" s="44">
        <f>'Financial Forecast + DCF'!G23</f>
        <v>0</v>
      </c>
      <c r="G9" s="44">
        <f>'Financial Forecast + DCF'!H23</f>
        <v>0.16639797830159905</v>
      </c>
      <c r="H9" s="44">
        <f>'Financial Forecast + DCF'!I23</f>
        <v>0.16639814155644644</v>
      </c>
      <c r="I9" s="44">
        <f>'Financial Forecast + DCF'!J23</f>
        <v>0.15631549183327234</v>
      </c>
      <c r="J9" s="44">
        <f>I9</f>
        <v>0.15631549183327234</v>
      </c>
      <c r="K9" s="44">
        <v>0.153</v>
      </c>
      <c r="L9" s="44">
        <v>0.151</v>
      </c>
      <c r="M9" s="44">
        <v>0.15</v>
      </c>
      <c r="N9" s="44">
        <v>0.14899999999999999</v>
      </c>
      <c r="T9" s="3" t="s">
        <v>97</v>
      </c>
      <c r="U9" s="40">
        <v>1.7000000000000001E-2</v>
      </c>
      <c r="V9" s="40">
        <v>-3.5999999999999997E-2</v>
      </c>
      <c r="W9" s="40">
        <v>1E-3</v>
      </c>
      <c r="X9" s="40">
        <v>-1E-3</v>
      </c>
      <c r="Y9" s="40">
        <v>0</v>
      </c>
      <c r="Z9" s="40">
        <v>0</v>
      </c>
      <c r="AA9" s="40">
        <v>0</v>
      </c>
      <c r="AB9" s="40">
        <v>0</v>
      </c>
      <c r="AC9" s="40">
        <v>0</v>
      </c>
    </row>
    <row r="10" spans="1:33" x14ac:dyDescent="0.25">
      <c r="B10" t="s">
        <v>21</v>
      </c>
      <c r="F10" s="44">
        <f>'Financial Forecast + DCF'!G26</f>
        <v>0</v>
      </c>
      <c r="G10" s="44">
        <f>'Financial Forecast + DCF'!H26</f>
        <v>1.9868415319593918E-2</v>
      </c>
      <c r="H10" s="44">
        <f>'Financial Forecast + DCF'!I26</f>
        <v>2.0682678256959797E-2</v>
      </c>
      <c r="I10" s="44">
        <f>'Financial Forecast + DCF'!J26</f>
        <v>2.1988623132962973E-2</v>
      </c>
      <c r="J10" s="44">
        <f>I10</f>
        <v>2.1988623132962973E-2</v>
      </c>
      <c r="K10" s="44">
        <f t="shared" ref="K10:N11" si="2">J10</f>
        <v>2.1988623132962973E-2</v>
      </c>
      <c r="L10" s="44">
        <f t="shared" si="2"/>
        <v>2.1988623132962973E-2</v>
      </c>
      <c r="M10" s="44">
        <f t="shared" si="2"/>
        <v>2.1988623132962973E-2</v>
      </c>
      <c r="N10" s="44">
        <f t="shared" si="2"/>
        <v>2.1988623132962973E-2</v>
      </c>
      <c r="T10" s="38" t="s">
        <v>98</v>
      </c>
      <c r="U10" s="41">
        <f>SUM(U6:U9)</f>
        <v>0.30600000000000005</v>
      </c>
      <c r="V10" s="41">
        <f t="shared" ref="V10:AC10" si="3">SUM(V6:V9)</f>
        <v>0.20800000000000002</v>
      </c>
      <c r="W10" s="41">
        <f t="shared" si="3"/>
        <v>6.8000000000000005E-2</v>
      </c>
      <c r="X10" s="41">
        <f t="shared" si="3"/>
        <v>0.13500000000000001</v>
      </c>
      <c r="Y10" s="42">
        <f t="shared" si="3"/>
        <v>0.27027000000000001</v>
      </c>
      <c r="Z10" s="41">
        <f t="shared" si="3"/>
        <v>0.11735000000000001</v>
      </c>
      <c r="AA10" s="41">
        <f>SUM(AA6:AA9)</f>
        <v>0.10727</v>
      </c>
      <c r="AB10" s="41">
        <f t="shared" si="3"/>
        <v>8.7150000000000005E-2</v>
      </c>
      <c r="AC10" s="41">
        <f t="shared" si="3"/>
        <v>7.6970000000000011E-2</v>
      </c>
      <c r="AE10" t="s">
        <v>103</v>
      </c>
    </row>
    <row r="11" spans="1:33" x14ac:dyDescent="0.25">
      <c r="B11" t="s">
        <v>23</v>
      </c>
      <c r="F11" s="39">
        <f>39.5/'Financial Forecast + DCF'!G13</f>
        <v>2.0764337906744468E-2</v>
      </c>
      <c r="G11" s="39">
        <f>40.5/'Financial Forecast + DCF'!H13</f>
        <v>1.7646289922007757E-2</v>
      </c>
      <c r="H11" s="39">
        <f>65.6/'Financial Forecast + DCF'!I13</f>
        <v>2.4579414740155119E-2</v>
      </c>
      <c r="I11" s="39">
        <f>74/'Financial Forecast + DCF'!J13</f>
        <v>2.4616612887129505E-2</v>
      </c>
      <c r="J11" s="39">
        <f>AVERAGE(F11:I11)</f>
        <v>2.190166386400921E-2</v>
      </c>
      <c r="K11" s="39">
        <f t="shared" si="2"/>
        <v>2.190166386400921E-2</v>
      </c>
      <c r="L11" s="39">
        <f t="shared" si="2"/>
        <v>2.190166386400921E-2</v>
      </c>
      <c r="M11" s="39">
        <f t="shared" si="2"/>
        <v>2.190166386400921E-2</v>
      </c>
      <c r="N11" s="39">
        <f t="shared" si="2"/>
        <v>2.190166386400921E-2</v>
      </c>
      <c r="T11" s="38" t="s">
        <v>99</v>
      </c>
    </row>
    <row r="12" spans="1:33" x14ac:dyDescent="0.25">
      <c r="B12" t="s">
        <v>34</v>
      </c>
      <c r="F12" s="39">
        <v>0.14899999999999999</v>
      </c>
      <c r="G12" s="39">
        <v>0.128</v>
      </c>
      <c r="H12" s="39">
        <v>-0.22500000000000001</v>
      </c>
      <c r="I12" s="39">
        <v>0.439</v>
      </c>
      <c r="J12" s="39">
        <v>0.20899999999999999</v>
      </c>
      <c r="K12" s="39">
        <v>0.20899999999999999</v>
      </c>
      <c r="L12" s="39">
        <v>0.20899999999999999</v>
      </c>
      <c r="M12" s="39">
        <v>0.20899999999999999</v>
      </c>
      <c r="N12" s="39">
        <v>0.20899999999999999</v>
      </c>
      <c r="T12" s="38" t="s">
        <v>100</v>
      </c>
    </row>
    <row r="13" spans="1:33" x14ac:dyDescent="0.25">
      <c r="B13" t="s">
        <v>35</v>
      </c>
      <c r="F13" s="39">
        <v>0.25</v>
      </c>
      <c r="G13" s="39">
        <v>0.25</v>
      </c>
      <c r="H13" s="39">
        <v>0.25</v>
      </c>
      <c r="I13" s="39">
        <v>0.25</v>
      </c>
      <c r="J13" s="39">
        <v>0.25</v>
      </c>
      <c r="K13" s="39">
        <v>0.25</v>
      </c>
      <c r="L13" s="39">
        <v>0.25</v>
      </c>
      <c r="M13" s="39">
        <v>0.25</v>
      </c>
      <c r="N13" s="39">
        <v>0.25</v>
      </c>
      <c r="T13" s="38" t="s">
        <v>101</v>
      </c>
    </row>
    <row r="14" spans="1:33" x14ac:dyDescent="0.25">
      <c r="F14" s="17"/>
      <c r="G14" s="17"/>
      <c r="H14" s="17"/>
      <c r="I14" s="17"/>
      <c r="J14" s="17"/>
      <c r="K14" s="17"/>
      <c r="L14" s="17"/>
      <c r="M14" s="17"/>
      <c r="N14" s="17"/>
      <c r="T14" s="38" t="s">
        <v>102</v>
      </c>
    </row>
    <row r="15" spans="1:33" x14ac:dyDescent="0.25">
      <c r="F15" s="17"/>
      <c r="G15" s="17"/>
      <c r="H15" s="17"/>
      <c r="I15" s="17"/>
      <c r="J15" s="17"/>
      <c r="K15" s="17"/>
      <c r="L15" s="17"/>
      <c r="M15" s="17"/>
      <c r="N15" s="17"/>
      <c r="T15" s="38" t="s">
        <v>201</v>
      </c>
    </row>
    <row r="16" spans="1:33" x14ac:dyDescent="0.25">
      <c r="F16" s="17"/>
      <c r="G16" s="17"/>
      <c r="H16" s="17"/>
      <c r="I16" s="17"/>
      <c r="J16" s="17"/>
      <c r="K16" s="17"/>
      <c r="L16" s="17"/>
      <c r="M16" s="17"/>
      <c r="N16" s="17"/>
      <c r="T16" s="38" t="s">
        <v>187</v>
      </c>
    </row>
    <row r="17" spans="6:33" x14ac:dyDescent="0.25">
      <c r="F17" s="17"/>
      <c r="G17" s="17"/>
      <c r="H17" s="17"/>
      <c r="I17" s="17"/>
      <c r="J17" s="17"/>
      <c r="K17" s="17"/>
      <c r="L17" s="17"/>
      <c r="M17" s="17"/>
      <c r="N17" s="17"/>
      <c r="T17" s="38" t="s">
        <v>189</v>
      </c>
    </row>
    <row r="18" spans="6:33" x14ac:dyDescent="0.25">
      <c r="F18" s="17"/>
      <c r="G18" s="17"/>
      <c r="H18" s="17"/>
      <c r="I18" s="17"/>
      <c r="J18" s="17"/>
      <c r="K18" s="17"/>
      <c r="L18" s="17"/>
      <c r="M18" s="17"/>
      <c r="N18" s="17"/>
      <c r="T18" s="38" t="s">
        <v>203</v>
      </c>
    </row>
    <row r="19" spans="6:33" x14ac:dyDescent="0.25">
      <c r="F19" s="17"/>
      <c r="G19" s="17"/>
      <c r="H19" s="17"/>
      <c r="I19" s="17"/>
      <c r="J19" s="17"/>
      <c r="K19" s="17"/>
      <c r="L19" s="17"/>
      <c r="M19" s="17"/>
      <c r="N19" s="17"/>
      <c r="T19" s="38" t="s">
        <v>188</v>
      </c>
    </row>
    <row r="20" spans="6:33" x14ac:dyDescent="0.25">
      <c r="T20" s="38" t="s">
        <v>186</v>
      </c>
    </row>
    <row r="21" spans="6:33" x14ac:dyDescent="0.25">
      <c r="T21" s="38" t="s">
        <v>120</v>
      </c>
    </row>
    <row r="22" spans="6:33" x14ac:dyDescent="0.25">
      <c r="T22" s="38" t="s">
        <v>104</v>
      </c>
    </row>
    <row r="23" spans="6:33" x14ac:dyDescent="0.25">
      <c r="F23" s="17"/>
      <c r="G23" s="17"/>
      <c r="H23" s="17"/>
      <c r="I23" s="17"/>
      <c r="J23" s="17"/>
      <c r="K23" s="17"/>
      <c r="L23" s="17"/>
      <c r="M23" s="17"/>
      <c r="N23" s="17"/>
    </row>
    <row r="25" spans="6:33" x14ac:dyDescent="0.25">
      <c r="S25" t="s">
        <v>121</v>
      </c>
      <c r="T25" t="s">
        <v>107</v>
      </c>
    </row>
    <row r="26" spans="6:33" x14ac:dyDescent="0.25">
      <c r="F26" s="17"/>
      <c r="G26" s="17"/>
      <c r="H26" s="17"/>
      <c r="I26" s="17"/>
      <c r="J26" s="17"/>
      <c r="K26" s="17"/>
      <c r="L26" s="17"/>
      <c r="M26" s="17"/>
      <c r="N26" s="17"/>
      <c r="U26">
        <v>2021</v>
      </c>
      <c r="V26">
        <v>2022</v>
      </c>
      <c r="W26">
        <v>2023</v>
      </c>
      <c r="X26">
        <v>2024</v>
      </c>
      <c r="Y26">
        <v>2025</v>
      </c>
      <c r="Z26">
        <v>2026</v>
      </c>
      <c r="AA26">
        <v>2027</v>
      </c>
      <c r="AB26">
        <v>2028</v>
      </c>
      <c r="AC26">
        <v>2029</v>
      </c>
    </row>
    <row r="27" spans="6:33" x14ac:dyDescent="0.25">
      <c r="F27" s="17"/>
      <c r="G27" s="17"/>
      <c r="H27" s="17"/>
      <c r="I27" s="17"/>
      <c r="J27" s="17"/>
      <c r="K27" s="17"/>
      <c r="L27" s="17"/>
      <c r="M27" s="17"/>
      <c r="N27" s="17"/>
      <c r="O27" s="17"/>
      <c r="T27" t="s">
        <v>94</v>
      </c>
      <c r="U27" s="39">
        <v>3.1E-2</v>
      </c>
      <c r="V27" s="39">
        <v>2.7E-2</v>
      </c>
      <c r="W27" s="39">
        <v>-2.3E-2</v>
      </c>
      <c r="X27" s="39">
        <v>-1.7000000000000001E-2</v>
      </c>
      <c r="Y27" s="39">
        <v>4.0000000000000001E-3</v>
      </c>
      <c r="Z27" s="39">
        <v>0.05</v>
      </c>
      <c r="AA27" s="39">
        <v>4.7E-2</v>
      </c>
      <c r="AB27" s="39">
        <v>4.1000000000000002E-2</v>
      </c>
      <c r="AC27" s="39">
        <v>0.03</v>
      </c>
    </row>
    <row r="28" spans="6:33" x14ac:dyDescent="0.25">
      <c r="F28" s="17"/>
      <c r="G28" s="17"/>
      <c r="H28" s="17"/>
      <c r="I28" s="17"/>
      <c r="J28" s="17"/>
      <c r="K28" s="17"/>
      <c r="L28" s="17"/>
      <c r="M28" s="17"/>
      <c r="N28" s="17"/>
      <c r="T28" t="s">
        <v>95</v>
      </c>
      <c r="U28" s="39">
        <v>0.106</v>
      </c>
      <c r="V28" s="39">
        <v>0.20799999999999999</v>
      </c>
      <c r="W28" s="39">
        <v>5.8999999999999997E-2</v>
      </c>
      <c r="X28" s="39">
        <v>2E-3</v>
      </c>
      <c r="Y28" s="39">
        <f>0.7*0.022+0.3*0.0429</f>
        <v>2.8269999999999997E-2</v>
      </c>
      <c r="Z28" s="39">
        <f>0.7*0.022+0.3*0.0365</f>
        <v>2.6349999999999998E-2</v>
      </c>
      <c r="AA28" s="39">
        <f>0.7*0.022+0.3*0.0329</f>
        <v>2.5269999999999997E-2</v>
      </c>
      <c r="AB28" s="39">
        <f>0.7*0.022+0.3*0.0325</f>
        <v>2.5149999999999999E-2</v>
      </c>
      <c r="AC28" s="39">
        <f>0.7*0.022+0.3*0.0319</f>
        <v>2.4969999999999999E-2</v>
      </c>
    </row>
    <row r="29" spans="6:33" x14ac:dyDescent="0.25">
      <c r="T29" t="s">
        <v>96</v>
      </c>
      <c r="U29" s="39">
        <v>3.0000000000000001E-3</v>
      </c>
      <c r="V29" s="39">
        <v>0</v>
      </c>
      <c r="W29" s="39">
        <v>0.30399999999999999</v>
      </c>
      <c r="X29" s="39">
        <v>0.128</v>
      </c>
      <c r="Y29" s="43">
        <v>0.26900000000000002</v>
      </c>
      <c r="Z29" s="39">
        <v>3.7999999999999999E-2</v>
      </c>
      <c r="AA29" s="39">
        <v>3.7999999999999999E-2</v>
      </c>
      <c r="AB29" s="39">
        <v>3.7999999999999999E-2</v>
      </c>
      <c r="AC29" s="39">
        <v>3.7999999999999999E-2</v>
      </c>
      <c r="AE29" t="s">
        <v>106</v>
      </c>
      <c r="AG29" t="s">
        <v>134</v>
      </c>
    </row>
    <row r="30" spans="6:33" x14ac:dyDescent="0.25">
      <c r="T30" s="3" t="s">
        <v>97</v>
      </c>
      <c r="U30" s="40">
        <v>1.4999999999999999E-2</v>
      </c>
      <c r="V30" s="40">
        <v>-3.1E-2</v>
      </c>
      <c r="W30" s="40">
        <v>3.0000000000000001E-3</v>
      </c>
      <c r="X30" s="40">
        <v>0</v>
      </c>
      <c r="Y30" s="40">
        <v>0</v>
      </c>
      <c r="Z30" s="40">
        <v>0</v>
      </c>
      <c r="AA30" s="40">
        <v>0</v>
      </c>
      <c r="AB30" s="40">
        <v>0</v>
      </c>
      <c r="AC30" s="40">
        <v>0</v>
      </c>
    </row>
    <row r="31" spans="6:33" x14ac:dyDescent="0.25">
      <c r="T31" s="38" t="s">
        <v>98</v>
      </c>
      <c r="U31" s="41">
        <f>SUM(U27:U30)</f>
        <v>0.15500000000000003</v>
      </c>
      <c r="V31" s="41">
        <f>SUM(V27:V30)</f>
        <v>0.20399999999999999</v>
      </c>
      <c r="W31" s="41">
        <f>SUM(W27:W30)</f>
        <v>0.34299999999999997</v>
      </c>
      <c r="X31" s="41">
        <f t="shared" ref="X31:AC31" si="4">SUM(X27:X30)</f>
        <v>0.113</v>
      </c>
      <c r="Y31" s="42">
        <f t="shared" si="4"/>
        <v>0.30127000000000004</v>
      </c>
      <c r="Z31" s="49">
        <f t="shared" si="4"/>
        <v>0.11435000000000001</v>
      </c>
      <c r="AA31" s="49">
        <f t="shared" si="4"/>
        <v>0.11027000000000001</v>
      </c>
      <c r="AB31" s="49">
        <f t="shared" si="4"/>
        <v>0.10414999999999999</v>
      </c>
      <c r="AC31" s="49">
        <f t="shared" si="4"/>
        <v>9.2969999999999997E-2</v>
      </c>
    </row>
    <row r="32" spans="6:33" x14ac:dyDescent="0.25">
      <c r="T32" s="38" t="s">
        <v>99</v>
      </c>
    </row>
    <row r="33" spans="19:20" x14ac:dyDescent="0.25">
      <c r="T33" s="38" t="s">
        <v>102</v>
      </c>
    </row>
    <row r="34" spans="19:20" x14ac:dyDescent="0.25">
      <c r="T34" s="38" t="s">
        <v>122</v>
      </c>
    </row>
    <row r="35" spans="19:20" x14ac:dyDescent="0.25">
      <c r="T35" s="38" t="s">
        <v>123</v>
      </c>
    </row>
    <row r="36" spans="19:20" x14ac:dyDescent="0.25">
      <c r="T36" s="38" t="s">
        <v>124</v>
      </c>
    </row>
    <row r="37" spans="19:20" x14ac:dyDescent="0.25">
      <c r="T37" s="38" t="s">
        <v>190</v>
      </c>
    </row>
    <row r="38" spans="19:20" x14ac:dyDescent="0.25">
      <c r="T38" s="38" t="s">
        <v>191</v>
      </c>
    </row>
    <row r="39" spans="19:20" x14ac:dyDescent="0.25">
      <c r="T39" s="38"/>
    </row>
    <row r="40" spans="19:20" x14ac:dyDescent="0.25">
      <c r="S40" t="s">
        <v>108</v>
      </c>
      <c r="T40" s="38" t="s">
        <v>104</v>
      </c>
    </row>
    <row r="42" spans="19:20" x14ac:dyDescent="0.25">
      <c r="S42" t="s">
        <v>110</v>
      </c>
      <c r="T42" t="s">
        <v>132</v>
      </c>
    </row>
    <row r="44" spans="19:20" x14ac:dyDescent="0.25">
      <c r="S44" t="s">
        <v>111</v>
      </c>
      <c r="T44" t="s">
        <v>133</v>
      </c>
    </row>
    <row r="46" spans="19:20" x14ac:dyDescent="0.25">
      <c r="S46" t="s">
        <v>109</v>
      </c>
      <c r="T46" t="s">
        <v>112</v>
      </c>
    </row>
    <row r="48" spans="19:20" x14ac:dyDescent="0.25">
      <c r="S48" t="s">
        <v>116</v>
      </c>
      <c r="T48" t="s">
        <v>113</v>
      </c>
    </row>
    <row r="50" spans="20:20" x14ac:dyDescent="0.25">
      <c r="T50"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9DBF-27D2-47AD-A7B1-69516E7B77B2}">
  <dimension ref="A1:M32"/>
  <sheetViews>
    <sheetView tabSelected="1" zoomScale="80" zoomScaleNormal="80" workbookViewId="0">
      <selection activeCell="I17" sqref="I17"/>
    </sheetView>
  </sheetViews>
  <sheetFormatPr defaultRowHeight="15" x14ac:dyDescent="0.25"/>
  <cols>
    <col min="1" max="1" width="22.140625" customWidth="1"/>
    <col min="3" max="3" width="13.140625" customWidth="1"/>
    <col min="4" max="4" width="31.140625" customWidth="1"/>
    <col min="5" max="5" width="12.7109375" customWidth="1"/>
    <col min="6" max="6" width="13.42578125" customWidth="1"/>
    <col min="7" max="9" width="16.140625" customWidth="1"/>
    <col min="10" max="10" width="10.85546875" customWidth="1"/>
    <col min="11" max="11" width="14" customWidth="1"/>
    <col min="12" max="13" width="16" customWidth="1"/>
    <col min="14" max="14" width="17.28515625" customWidth="1"/>
    <col min="15" max="15" width="19.28515625" customWidth="1"/>
  </cols>
  <sheetData>
    <row r="1" spans="1:13" x14ac:dyDescent="0.25">
      <c r="A1" s="59" t="s">
        <v>141</v>
      </c>
      <c r="B1" s="60" t="s">
        <v>80</v>
      </c>
      <c r="C1" s="60" t="s">
        <v>142</v>
      </c>
      <c r="D1" s="60" t="s">
        <v>143</v>
      </c>
      <c r="E1" s="60" t="s">
        <v>153</v>
      </c>
      <c r="F1" s="60" t="s">
        <v>148</v>
      </c>
      <c r="G1" s="60" t="s">
        <v>166</v>
      </c>
      <c r="H1" s="60" t="s">
        <v>207</v>
      </c>
      <c r="I1" s="60" t="s">
        <v>202</v>
      </c>
      <c r="J1" s="60" t="s">
        <v>149</v>
      </c>
      <c r="K1" s="60" t="s">
        <v>150</v>
      </c>
      <c r="L1" s="60" t="s">
        <v>151</v>
      </c>
      <c r="M1" s="61" t="s">
        <v>152</v>
      </c>
    </row>
    <row r="2" spans="1:13" x14ac:dyDescent="0.25">
      <c r="A2" t="s">
        <v>144</v>
      </c>
      <c r="B2" t="s">
        <v>145</v>
      </c>
      <c r="C2">
        <v>17190</v>
      </c>
      <c r="D2" t="s">
        <v>146</v>
      </c>
      <c r="E2">
        <v>3578.6</v>
      </c>
      <c r="F2">
        <v>675.6</v>
      </c>
      <c r="G2" s="44">
        <f>F2/E2</f>
        <v>0.18878891186497515</v>
      </c>
      <c r="H2" s="44">
        <v>0.16</v>
      </c>
      <c r="I2" s="44">
        <v>0.126</v>
      </c>
      <c r="J2">
        <v>17648.64</v>
      </c>
      <c r="K2">
        <v>26.9</v>
      </c>
      <c r="L2">
        <v>18.77</v>
      </c>
      <c r="M2">
        <v>3.9</v>
      </c>
    </row>
    <row r="3" spans="1:13" x14ac:dyDescent="0.25">
      <c r="A3" t="s">
        <v>154</v>
      </c>
      <c r="B3" t="s">
        <v>81</v>
      </c>
      <c r="C3">
        <v>22260</v>
      </c>
      <c r="D3" t="s">
        <v>146</v>
      </c>
      <c r="E3">
        <v>5686.2</v>
      </c>
      <c r="F3">
        <v>1350.4</v>
      </c>
      <c r="G3" s="44">
        <f t="shared" ref="G3:G11" si="0">F3/E3</f>
        <v>0.23748724983292888</v>
      </c>
      <c r="H3" s="44">
        <v>0.20300000000000001</v>
      </c>
      <c r="I3" s="44">
        <v>4.8000000000000001E-2</v>
      </c>
      <c r="J3">
        <v>24478.880000000001</v>
      </c>
      <c r="K3">
        <v>21.36</v>
      </c>
      <c r="L3">
        <v>15.37</v>
      </c>
      <c r="M3">
        <v>3.56</v>
      </c>
    </row>
    <row r="4" spans="1:13" x14ac:dyDescent="0.25">
      <c r="A4" t="s">
        <v>155</v>
      </c>
      <c r="B4" t="s">
        <v>156</v>
      </c>
      <c r="C4">
        <v>38450</v>
      </c>
      <c r="D4" t="s">
        <v>168</v>
      </c>
      <c r="E4">
        <v>9391.2999999999993</v>
      </c>
      <c r="F4">
        <v>2065.8000000000002</v>
      </c>
      <c r="G4" s="44">
        <f t="shared" si="0"/>
        <v>0.21996954628219739</v>
      </c>
      <c r="H4" s="44">
        <v>0.19</v>
      </c>
      <c r="I4" s="44">
        <v>2.8000000000000001E-2</v>
      </c>
      <c r="J4">
        <v>40177.82</v>
      </c>
      <c r="K4">
        <v>21.51</v>
      </c>
      <c r="L4">
        <v>15.3</v>
      </c>
      <c r="M4">
        <v>3.31</v>
      </c>
    </row>
    <row r="5" spans="1:13" x14ac:dyDescent="0.25">
      <c r="A5" t="s">
        <v>157</v>
      </c>
      <c r="B5" t="s">
        <v>85</v>
      </c>
      <c r="C5">
        <v>71290</v>
      </c>
      <c r="D5" t="s">
        <v>146</v>
      </c>
      <c r="E5">
        <v>18061</v>
      </c>
      <c r="F5">
        <v>5040</v>
      </c>
      <c r="G5" s="44">
        <f t="shared" si="0"/>
        <v>0.27905431592935054</v>
      </c>
      <c r="H5" s="44">
        <v>0.20100000000000001</v>
      </c>
      <c r="I5" s="44">
        <v>0.03</v>
      </c>
      <c r="J5">
        <v>86494.1</v>
      </c>
      <c r="K5">
        <v>19.600000000000001</v>
      </c>
      <c r="L5">
        <v>15.29</v>
      </c>
      <c r="M5">
        <v>3.76</v>
      </c>
    </row>
    <row r="6" spans="1:13" x14ac:dyDescent="0.25">
      <c r="A6" t="s">
        <v>158</v>
      </c>
      <c r="B6" t="s">
        <v>159</v>
      </c>
      <c r="C6">
        <v>2240</v>
      </c>
      <c r="D6" t="s">
        <v>146</v>
      </c>
      <c r="E6">
        <v>2886.66</v>
      </c>
      <c r="F6">
        <v>429.53</v>
      </c>
      <c r="G6" s="44">
        <f t="shared" si="0"/>
        <v>0.14879826512301414</v>
      </c>
      <c r="H6" s="44">
        <v>8.3000000000000004E-2</v>
      </c>
      <c r="I6" s="44">
        <v>-0.111</v>
      </c>
      <c r="J6">
        <v>3004.81</v>
      </c>
      <c r="K6">
        <v>12.41</v>
      </c>
      <c r="L6">
        <v>8.1999999999999993</v>
      </c>
      <c r="M6">
        <v>0.78</v>
      </c>
    </row>
    <row r="7" spans="1:13" x14ac:dyDescent="0.25">
      <c r="A7" t="s">
        <v>160</v>
      </c>
      <c r="B7" t="s">
        <v>161</v>
      </c>
      <c r="C7">
        <v>125260</v>
      </c>
      <c r="D7" t="s">
        <v>146</v>
      </c>
      <c r="E7">
        <v>34508</v>
      </c>
      <c r="F7">
        <v>6942</v>
      </c>
      <c r="G7" s="44">
        <f t="shared" si="0"/>
        <v>0.20117074301611221</v>
      </c>
      <c r="H7" s="44">
        <v>0.17899999999999999</v>
      </c>
      <c r="I7" s="44">
        <v>1.9E-2</v>
      </c>
      <c r="J7">
        <v>136373.92000000001</v>
      </c>
      <c r="K7">
        <v>25.68</v>
      </c>
      <c r="L7">
        <v>16.39</v>
      </c>
      <c r="M7">
        <v>3.39</v>
      </c>
    </row>
    <row r="8" spans="1:13" x14ac:dyDescent="0.25">
      <c r="A8" t="s">
        <v>162</v>
      </c>
      <c r="B8" t="s">
        <v>84</v>
      </c>
      <c r="C8">
        <v>132640</v>
      </c>
      <c r="D8" t="s">
        <v>146</v>
      </c>
      <c r="E8">
        <v>26633</v>
      </c>
      <c r="F8">
        <v>6146</v>
      </c>
      <c r="G8" s="44">
        <f t="shared" si="0"/>
        <v>0.23076634250741562</v>
      </c>
      <c r="H8" s="44">
        <v>0.193</v>
      </c>
      <c r="I8" s="44">
        <v>7.2999999999999995E-2</v>
      </c>
      <c r="J8">
        <v>156786.53</v>
      </c>
      <c r="K8">
        <v>25.24</v>
      </c>
      <c r="L8">
        <v>19.91</v>
      </c>
      <c r="M8">
        <v>4.43</v>
      </c>
    </row>
    <row r="9" spans="1:13" x14ac:dyDescent="0.25">
      <c r="A9" t="s">
        <v>163</v>
      </c>
      <c r="B9" t="s">
        <v>164</v>
      </c>
      <c r="C9">
        <v>64700</v>
      </c>
      <c r="D9" t="s">
        <v>165</v>
      </c>
      <c r="E9">
        <v>9696.2999999999993</v>
      </c>
      <c r="F9">
        <v>2042.1</v>
      </c>
      <c r="G9" s="44">
        <f t="shared" si="0"/>
        <v>0.21060610748429814</v>
      </c>
      <c r="H9" s="44">
        <v>0.18099999999999999</v>
      </c>
      <c r="I9" s="44">
        <v>0.16700000000000001</v>
      </c>
      <c r="J9">
        <v>59021.9</v>
      </c>
      <c r="K9">
        <v>33.46</v>
      </c>
      <c r="L9">
        <v>24.29</v>
      </c>
      <c r="M9">
        <v>5.4</v>
      </c>
    </row>
    <row r="10" spans="1:13" x14ac:dyDescent="0.25">
      <c r="A10" t="s">
        <v>167</v>
      </c>
      <c r="B10" t="s">
        <v>82</v>
      </c>
      <c r="C10">
        <v>10650</v>
      </c>
      <c r="D10" t="s">
        <v>168</v>
      </c>
      <c r="E10">
        <v>4345.6000000000004</v>
      </c>
      <c r="F10">
        <v>715.6</v>
      </c>
      <c r="G10" s="44">
        <f t="shared" si="0"/>
        <v>0.16467231222385861</v>
      </c>
      <c r="H10" s="44">
        <v>0.13400000000000001</v>
      </c>
      <c r="I10" s="44">
        <v>0.13100000000000001</v>
      </c>
      <c r="J10">
        <v>10620.48</v>
      </c>
      <c r="K10">
        <v>17.39</v>
      </c>
      <c r="L10">
        <v>12.69</v>
      </c>
      <c r="M10">
        <v>2.2000000000000002</v>
      </c>
    </row>
    <row r="11" spans="1:13" x14ac:dyDescent="0.25">
      <c r="A11" t="s">
        <v>169</v>
      </c>
      <c r="B11" t="s">
        <v>83</v>
      </c>
      <c r="C11">
        <v>43920</v>
      </c>
      <c r="D11" t="s">
        <v>168</v>
      </c>
      <c r="E11">
        <v>7164.27</v>
      </c>
      <c r="F11">
        <v>2267.58</v>
      </c>
      <c r="G11" s="44">
        <f t="shared" si="0"/>
        <v>0.31651235924944199</v>
      </c>
      <c r="H11" s="44">
        <v>0.25900000000000001</v>
      </c>
      <c r="I11" s="44">
        <v>5.1999999999999998E-2</v>
      </c>
      <c r="J11">
        <v>44998.33</v>
      </c>
      <c r="K11">
        <v>24.33</v>
      </c>
      <c r="L11">
        <v>18.54</v>
      </c>
      <c r="M11">
        <v>5.61</v>
      </c>
    </row>
    <row r="12" spans="1:13" x14ac:dyDescent="0.25">
      <c r="H12" s="8"/>
      <c r="J12" s="19" t="s">
        <v>170</v>
      </c>
      <c r="K12" s="22">
        <f>AVERAGE(K3,K4,K5,K7,K8,K10,K11)</f>
        <v>22.158571428571431</v>
      </c>
      <c r="L12" s="22">
        <f>AVERAGE(L3,L4,L5,L7,L8,L10,L11)</f>
        <v>16.212857142857143</v>
      </c>
      <c r="M12" s="22">
        <f>AVERAGE(M3,M4,M5,M7,M8,M10,M11,M9)</f>
        <v>3.9574999999999996</v>
      </c>
    </row>
    <row r="13" spans="1:13" x14ac:dyDescent="0.25">
      <c r="G13" s="8"/>
      <c r="H13" s="8"/>
      <c r="J13" s="19" t="s">
        <v>172</v>
      </c>
      <c r="K13">
        <f>MEDIAN(K3:K11)</f>
        <v>21.51</v>
      </c>
      <c r="L13">
        <f>MEDIAN(L3:L11)</f>
        <v>15.37</v>
      </c>
      <c r="M13">
        <f>MEDIAN(M3:M11)</f>
        <v>3.56</v>
      </c>
    </row>
    <row r="14" spans="1:13" x14ac:dyDescent="0.25">
      <c r="G14" s="8"/>
      <c r="H14" s="8"/>
      <c r="J14" s="19" t="s">
        <v>171</v>
      </c>
      <c r="K14">
        <f>_xlfn.QUARTILE.EXC(K3:K11,1)</f>
        <v>18.495000000000001</v>
      </c>
      <c r="L14">
        <f>_xlfn.QUARTILE.EXC(L3:L11,1)</f>
        <v>13.989999999999998</v>
      </c>
      <c r="M14">
        <f>_xlfn.QUARTILE.EXC(M3:M11,1)</f>
        <v>2.7549999999999999</v>
      </c>
    </row>
    <row r="15" spans="1:13" x14ac:dyDescent="0.25">
      <c r="G15" s="8"/>
      <c r="H15" s="8"/>
      <c r="J15" s="19" t="s">
        <v>173</v>
      </c>
      <c r="K15">
        <f>_xlfn.QUARTILE.EXC(K3:K11,3)</f>
        <v>25.46</v>
      </c>
      <c r="L15">
        <f>_xlfn.QUARTILE.EXC(L3:L11,3)</f>
        <v>19.225000000000001</v>
      </c>
      <c r="M15">
        <f>_xlfn.QUARTILE.EXC(M3:M11,3)</f>
        <v>4.915</v>
      </c>
    </row>
    <row r="16" spans="1:13" x14ac:dyDescent="0.25">
      <c r="J16" s="19" t="s">
        <v>174</v>
      </c>
      <c r="K16">
        <f>K15-K14</f>
        <v>6.9649999999999999</v>
      </c>
      <c r="L16">
        <f>L15-L14</f>
        <v>5.235000000000003</v>
      </c>
      <c r="M16">
        <f>M15-M14</f>
        <v>2.16</v>
      </c>
    </row>
    <row r="17" spans="7:13" x14ac:dyDescent="0.25">
      <c r="J17" s="19" t="s">
        <v>175</v>
      </c>
      <c r="K17" t="s">
        <v>176</v>
      </c>
      <c r="L17" s="19" t="s">
        <v>177</v>
      </c>
      <c r="M17" s="19" t="s">
        <v>178</v>
      </c>
    </row>
    <row r="18" spans="7:13" x14ac:dyDescent="0.25">
      <c r="G18" s="51"/>
      <c r="H18" s="51"/>
      <c r="K18">
        <f>K13+K16</f>
        <v>28.475000000000001</v>
      </c>
      <c r="L18">
        <f>L13+L16</f>
        <v>20.605000000000004</v>
      </c>
      <c r="M18">
        <f>M13+M16</f>
        <v>5.7200000000000006</v>
      </c>
    </row>
    <row r="19" spans="7:13" x14ac:dyDescent="0.25">
      <c r="G19" s="51"/>
      <c r="H19" s="51"/>
      <c r="K19">
        <f>K13-K16</f>
        <v>14.545000000000002</v>
      </c>
      <c r="L19">
        <f>L13-L16</f>
        <v>10.134999999999996</v>
      </c>
      <c r="M19">
        <f>M13-M16</f>
        <v>1.4</v>
      </c>
    </row>
    <row r="21" spans="7:13" x14ac:dyDescent="0.25">
      <c r="G21" s="62" t="s">
        <v>180</v>
      </c>
      <c r="H21" s="62"/>
      <c r="I21" s="62"/>
      <c r="J21" s="2"/>
      <c r="K21" s="2"/>
      <c r="L21" s="73"/>
    </row>
    <row r="22" spans="7:13" x14ac:dyDescent="0.25">
      <c r="G22" s="63"/>
      <c r="H22" s="63"/>
      <c r="I22" s="64" t="s">
        <v>206</v>
      </c>
      <c r="J22" s="65" t="s">
        <v>151</v>
      </c>
    </row>
    <row r="23" spans="7:13" x14ac:dyDescent="0.25">
      <c r="G23" s="68" t="s">
        <v>179</v>
      </c>
      <c r="H23" s="68"/>
      <c r="I23" s="69">
        <f>K12*4</f>
        <v>88.634285714285724</v>
      </c>
      <c r="J23" s="71" t="s">
        <v>185</v>
      </c>
      <c r="K23" s="14" t="s">
        <v>184</v>
      </c>
    </row>
    <row r="24" spans="7:13" x14ac:dyDescent="0.25">
      <c r="G24" s="68" t="s">
        <v>172</v>
      </c>
      <c r="H24" s="68"/>
      <c r="I24" s="69">
        <f>K13*4</f>
        <v>86.04</v>
      </c>
      <c r="J24" s="71" t="s">
        <v>185</v>
      </c>
      <c r="K24" s="14" t="s">
        <v>183</v>
      </c>
    </row>
    <row r="25" spans="7:13" x14ac:dyDescent="0.25">
      <c r="G25" s="68" t="s">
        <v>181</v>
      </c>
      <c r="H25" s="68"/>
      <c r="I25" s="69">
        <f>K14*4</f>
        <v>73.98</v>
      </c>
      <c r="J25" s="71" t="s">
        <v>185</v>
      </c>
    </row>
    <row r="26" spans="7:13" x14ac:dyDescent="0.25">
      <c r="G26" s="72" t="s">
        <v>182</v>
      </c>
      <c r="H26" s="72"/>
      <c r="I26" s="66">
        <f>K15*4</f>
        <v>101.84</v>
      </c>
      <c r="J26" s="70" t="s">
        <v>185</v>
      </c>
      <c r="K26" s="14"/>
    </row>
    <row r="32" spans="7:13" x14ac:dyDescent="0.25">
      <c r="M32"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B71AE-65BE-481F-928E-68FA67A44798}">
  <dimension ref="A1:Q29"/>
  <sheetViews>
    <sheetView topLeftCell="A3" zoomScale="90" zoomScaleNormal="90" workbookViewId="0">
      <selection activeCell="G24" sqref="G24:K24"/>
    </sheetView>
  </sheetViews>
  <sheetFormatPr defaultRowHeight="15" x14ac:dyDescent="0.25"/>
  <cols>
    <col min="1" max="1" width="2.7109375" customWidth="1"/>
    <col min="2" max="2" width="3.42578125" customWidth="1"/>
    <col min="3" max="3" width="14.5703125" customWidth="1"/>
  </cols>
  <sheetData>
    <row r="1" spans="1:17" ht="28.5" x14ac:dyDescent="0.45">
      <c r="B1" s="1" t="s">
        <v>4</v>
      </c>
      <c r="C1" s="2"/>
      <c r="D1" s="2"/>
      <c r="E1" s="2"/>
      <c r="F1" s="2"/>
      <c r="G1" s="2"/>
      <c r="H1" s="2"/>
      <c r="I1" s="2"/>
      <c r="J1" s="2"/>
      <c r="K1" s="2"/>
      <c r="L1" s="2"/>
      <c r="M1" s="2"/>
      <c r="N1" s="2"/>
      <c r="O1" s="2"/>
      <c r="P1" s="2"/>
      <c r="Q1" s="2"/>
    </row>
    <row r="2" spans="1:17" ht="28.5" x14ac:dyDescent="0.45">
      <c r="A2" s="3"/>
      <c r="B2" s="1" t="s">
        <v>86</v>
      </c>
      <c r="C2" s="5"/>
      <c r="D2" s="5"/>
      <c r="E2" s="5"/>
      <c r="F2" s="5"/>
      <c r="G2" s="5"/>
      <c r="H2" s="5"/>
      <c r="I2" s="5"/>
      <c r="J2" s="5"/>
      <c r="K2" s="5"/>
      <c r="L2" s="5"/>
      <c r="M2" s="5"/>
      <c r="N2" s="5"/>
      <c r="O2" s="5"/>
      <c r="P2" s="5"/>
      <c r="Q2" s="5"/>
    </row>
    <row r="5" spans="1:17" x14ac:dyDescent="0.25">
      <c r="K5" s="20" t="s">
        <v>31</v>
      </c>
    </row>
    <row r="6" spans="1:17" x14ac:dyDescent="0.25">
      <c r="B6" s="6" t="s">
        <v>0</v>
      </c>
      <c r="D6">
        <v>2</v>
      </c>
      <c r="G6" s="7">
        <f>[1]Assumptions!H6</f>
        <v>2025</v>
      </c>
      <c r="H6" s="7">
        <f>G6+1</f>
        <v>2026</v>
      </c>
      <c r="I6" s="7">
        <f>H6+1</f>
        <v>2027</v>
      </c>
      <c r="J6" s="7">
        <f>I6+1</f>
        <v>2028</v>
      </c>
      <c r="K6" s="7">
        <f>J6+1</f>
        <v>2029</v>
      </c>
    </row>
    <row r="9" spans="1:17" x14ac:dyDescent="0.25">
      <c r="B9" s="9" t="s">
        <v>7</v>
      </c>
    </row>
    <row r="10" spans="1:17" x14ac:dyDescent="0.25">
      <c r="B10" s="9"/>
    </row>
    <row r="11" spans="1:17" x14ac:dyDescent="0.25">
      <c r="B11" s="6"/>
      <c r="C11" s="6" t="s">
        <v>6</v>
      </c>
      <c r="G11">
        <f>CHOOSE($D$6, G12,G13,G14)</f>
        <v>0.27027000000000001</v>
      </c>
      <c r="H11">
        <f>CHOOSE($D$6, H12,H13,H14)</f>
        <v>0.11735000000000001</v>
      </c>
      <c r="I11">
        <f>CHOOSE($D$6, I12,I13,I14)</f>
        <v>0.10727</v>
      </c>
      <c r="J11">
        <f>CHOOSE($D$6, J12,J13,J14)</f>
        <v>8.7150000000000005E-2</v>
      </c>
      <c r="K11">
        <f>CHOOSE($D$6, K12,K13,K14)</f>
        <v>7.6970000000000011E-2</v>
      </c>
    </row>
    <row r="12" spans="1:17" x14ac:dyDescent="0.25">
      <c r="D12" t="s">
        <v>1</v>
      </c>
      <c r="G12">
        <f>G13*1.1</f>
        <v>0.29729700000000003</v>
      </c>
      <c r="H12">
        <f>H13*1.1</f>
        <v>0.12908500000000003</v>
      </c>
      <c r="I12">
        <f>I13*1.1</f>
        <v>0.11799700000000002</v>
      </c>
      <c r="J12">
        <f>J13*1.1</f>
        <v>9.586500000000002E-2</v>
      </c>
      <c r="K12">
        <f>K13*1.1</f>
        <v>8.466700000000002E-2</v>
      </c>
    </row>
    <row r="13" spans="1:17" x14ac:dyDescent="0.25">
      <c r="D13" t="s">
        <v>2</v>
      </c>
      <c r="G13">
        <f>Assumptions!J6</f>
        <v>0.27027000000000001</v>
      </c>
      <c r="H13">
        <f>Assumptions!K6</f>
        <v>0.11735000000000001</v>
      </c>
      <c r="I13">
        <f>Assumptions!L6</f>
        <v>0.10727</v>
      </c>
      <c r="J13">
        <f>Assumptions!M6</f>
        <v>8.7150000000000005E-2</v>
      </c>
      <c r="K13">
        <f>Assumptions!N6</f>
        <v>7.6970000000000011E-2</v>
      </c>
    </row>
    <row r="14" spans="1:17" x14ac:dyDescent="0.25">
      <c r="D14" t="s">
        <v>3</v>
      </c>
      <c r="G14">
        <f>G13*0.9</f>
        <v>0.24324300000000001</v>
      </c>
      <c r="H14">
        <f>H13*0.9</f>
        <v>0.10561500000000001</v>
      </c>
      <c r="I14">
        <f>I13*0.9</f>
        <v>9.6543000000000004E-2</v>
      </c>
      <c r="J14">
        <f>J13*0.9</f>
        <v>7.8435000000000005E-2</v>
      </c>
      <c r="K14">
        <f>K13*0.9</f>
        <v>6.9273000000000015E-2</v>
      </c>
    </row>
    <row r="16" spans="1:17" x14ac:dyDescent="0.25">
      <c r="B16" s="6"/>
      <c r="C16" s="6" t="s">
        <v>5</v>
      </c>
      <c r="G16">
        <f>CHOOSE($D$6, G17,G18,G19)</f>
        <v>0.30127000000000004</v>
      </c>
      <c r="H16">
        <f>CHOOSE($D$6, H17,H18,H19)</f>
        <v>0.11435000000000001</v>
      </c>
      <c r="I16">
        <f>CHOOSE($D$6, I17,I18,I19)</f>
        <v>0.11027000000000001</v>
      </c>
      <c r="J16">
        <f>CHOOSE($D$6, J17,J18,J19)</f>
        <v>0.10414999999999999</v>
      </c>
      <c r="K16">
        <f>CHOOSE($D$6, K17,K18,K19)</f>
        <v>9.2969999999999997E-2</v>
      </c>
    </row>
    <row r="17" spans="2:11" x14ac:dyDescent="0.25">
      <c r="D17" t="s">
        <v>1</v>
      </c>
      <c r="G17">
        <f>G18*1.1</f>
        <v>0.33139700000000005</v>
      </c>
      <c r="H17">
        <f>H18*1.1</f>
        <v>0.12578500000000001</v>
      </c>
      <c r="I17">
        <f>I18*1.1</f>
        <v>0.12129700000000002</v>
      </c>
      <c r="J17">
        <f>J18*1.1</f>
        <v>0.114565</v>
      </c>
      <c r="K17">
        <f>K18*1.1</f>
        <v>0.10226700000000001</v>
      </c>
    </row>
    <row r="18" spans="2:11" x14ac:dyDescent="0.25">
      <c r="D18" t="s">
        <v>2</v>
      </c>
      <c r="G18">
        <f>Assumptions!J7</f>
        <v>0.30127000000000004</v>
      </c>
      <c r="H18">
        <f>Assumptions!K7</f>
        <v>0.11435000000000001</v>
      </c>
      <c r="I18">
        <f>Assumptions!L7</f>
        <v>0.11027000000000001</v>
      </c>
      <c r="J18">
        <f>Assumptions!M7</f>
        <v>0.10414999999999999</v>
      </c>
      <c r="K18">
        <f>Assumptions!N7</f>
        <v>9.2969999999999997E-2</v>
      </c>
    </row>
    <row r="19" spans="2:11" x14ac:dyDescent="0.25">
      <c r="D19" t="s">
        <v>3</v>
      </c>
      <c r="G19">
        <f>G18*0.9</f>
        <v>0.27114300000000002</v>
      </c>
      <c r="H19">
        <f>H18*0.9</f>
        <v>0.10291500000000001</v>
      </c>
      <c r="I19">
        <f>I18*0.9</f>
        <v>9.9243000000000012E-2</v>
      </c>
      <c r="J19">
        <f>J18*0.9</f>
        <v>9.3734999999999999E-2</v>
      </c>
      <c r="K19">
        <f>K18*0.9</f>
        <v>8.3672999999999997E-2</v>
      </c>
    </row>
    <row r="21" spans="2:11" x14ac:dyDescent="0.25">
      <c r="B21" s="9" t="s">
        <v>13</v>
      </c>
    </row>
    <row r="22" spans="2:11" x14ac:dyDescent="0.25">
      <c r="B22" s="9"/>
    </row>
    <row r="23" spans="2:11" x14ac:dyDescent="0.25">
      <c r="B23" s="6"/>
      <c r="C23" s="6" t="s">
        <v>14</v>
      </c>
      <c r="G23">
        <f>CHOOSE($D$6,G24, G25,G26)</f>
        <v>0.60699999999999998</v>
      </c>
      <c r="H23">
        <f>CHOOSE($D$6,H24, H25,H26)</f>
        <v>0.6</v>
      </c>
      <c r="I23">
        <f>CHOOSE($D$6,I24, I25,I26)</f>
        <v>0.59399999999999997</v>
      </c>
      <c r="J23">
        <f>CHOOSE($D$6,J24, J25,J26)</f>
        <v>0.58699999999999997</v>
      </c>
      <c r="K23">
        <f>CHOOSE($D$6,K24, K25,K26)</f>
        <v>0.57999999999999996</v>
      </c>
    </row>
    <row r="24" spans="2:11" x14ac:dyDescent="0.25">
      <c r="D24" t="s">
        <v>1</v>
      </c>
      <c r="G24">
        <f>G25*0.9</f>
        <v>0.54630000000000001</v>
      </c>
      <c r="H24">
        <f>H25*0.9</f>
        <v>0.54</v>
      </c>
      <c r="I24">
        <f>I25*0.9</f>
        <v>0.53459999999999996</v>
      </c>
      <c r="J24">
        <f>J25*0.9</f>
        <v>0.52829999999999999</v>
      </c>
      <c r="K24">
        <f>K25*0.9</f>
        <v>0.52200000000000002</v>
      </c>
    </row>
    <row r="25" spans="2:11" x14ac:dyDescent="0.25">
      <c r="D25" t="s">
        <v>2</v>
      </c>
      <c r="G25">
        <f>Assumptions!J8</f>
        <v>0.60699999999999998</v>
      </c>
      <c r="H25">
        <f>Assumptions!K8</f>
        <v>0.6</v>
      </c>
      <c r="I25">
        <f>Assumptions!L8</f>
        <v>0.59399999999999997</v>
      </c>
      <c r="J25">
        <f>Assumptions!M8</f>
        <v>0.58699999999999997</v>
      </c>
      <c r="K25">
        <f>Assumptions!N8</f>
        <v>0.57999999999999996</v>
      </c>
    </row>
    <row r="26" spans="2:11" x14ac:dyDescent="0.25">
      <c r="D26" t="s">
        <v>3</v>
      </c>
      <c r="G26">
        <f>G25*1.1</f>
        <v>0.66770000000000007</v>
      </c>
      <c r="H26">
        <f>H25*1.1</f>
        <v>0.66</v>
      </c>
      <c r="I26">
        <f>I25*1.1</f>
        <v>0.65339999999999998</v>
      </c>
      <c r="J26">
        <f>J25*1.1</f>
        <v>0.64570000000000005</v>
      </c>
      <c r="K26">
        <f>K25*1.1</f>
        <v>0.63800000000000001</v>
      </c>
    </row>
    <row r="29" spans="2:11" x14ac:dyDescent="0.25">
      <c r="B29" s="9"/>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Drop Down 1">
              <controlPr defaultSize="0" autoLine="0" autoPict="0">
                <anchor moveWithCells="1">
                  <from>
                    <xdr:col>2</xdr:col>
                    <xdr:colOff>1152525</xdr:colOff>
                    <xdr:row>5</xdr:row>
                    <xdr:rowOff>28575</xdr:rowOff>
                  </from>
                  <to>
                    <xdr:col>3</xdr:col>
                    <xdr:colOff>742950</xdr:colOff>
                    <xdr:row>6</xdr:row>
                    <xdr:rowOff>38100</xdr:rowOff>
                  </to>
                </anchor>
              </controlPr>
            </control>
          </mc:Choice>
        </mc:AlternateContent>
        <mc:AlternateContent xmlns:mc="http://schemas.openxmlformats.org/markup-compatibility/2006">
          <mc:Choice Requires="x14">
            <control shapeId="2050" r:id="rId4" name="Drop Down 2">
              <controlPr defaultSize="0" autoLine="0" autoPict="0">
                <anchor moveWithCells="1">
                  <from>
                    <xdr:col>2</xdr:col>
                    <xdr:colOff>1152525</xdr:colOff>
                    <xdr:row>5</xdr:row>
                    <xdr:rowOff>28575</xdr:rowOff>
                  </from>
                  <to>
                    <xdr:col>3</xdr:col>
                    <xdr:colOff>742950</xdr:colOff>
                    <xdr:row>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B46AA-8476-45B5-9264-E0A4E343E472}">
  <dimension ref="B1:P19"/>
  <sheetViews>
    <sheetView zoomScale="90" zoomScaleNormal="90" workbookViewId="0">
      <selection activeCell="L19" sqref="L19"/>
    </sheetView>
  </sheetViews>
  <sheetFormatPr defaultRowHeight="15" x14ac:dyDescent="0.25"/>
  <cols>
    <col min="1" max="1" width="2.5703125" customWidth="1"/>
    <col min="4" max="4" width="13" customWidth="1"/>
  </cols>
  <sheetData>
    <row r="1" spans="2:16" x14ac:dyDescent="0.25">
      <c r="O1" s="10" t="str">
        <f>UPPER("currently running: " &amp;CHOOSE(Scenarios!$D$6, Scenarios!$D$12,Scenarios!$D$13, Scenarios!$D$14)&amp;" scenario")</f>
        <v>CURRENTLY RUNNING: BASE CASE SCENARIO</v>
      </c>
    </row>
    <row r="2" spans="2:16" ht="28.5" x14ac:dyDescent="0.45">
      <c r="B2" s="1" t="s">
        <v>86</v>
      </c>
      <c r="C2" s="2"/>
      <c r="D2" s="2"/>
      <c r="E2" s="2"/>
      <c r="F2" s="2"/>
      <c r="G2" s="2"/>
      <c r="H2" s="2"/>
      <c r="I2" s="2"/>
      <c r="J2" s="2"/>
      <c r="K2" s="2"/>
      <c r="L2" s="2"/>
      <c r="M2" s="2"/>
      <c r="N2" s="2"/>
      <c r="O2" s="2"/>
    </row>
    <row r="3" spans="2:16" ht="28.5" x14ac:dyDescent="0.45">
      <c r="B3" s="4" t="s">
        <v>22</v>
      </c>
      <c r="C3" s="5"/>
      <c r="D3" s="5"/>
      <c r="E3" s="5"/>
      <c r="F3" s="5"/>
      <c r="G3" s="5"/>
      <c r="H3" s="5"/>
      <c r="I3" s="5"/>
      <c r="J3" s="5"/>
      <c r="K3" s="5"/>
      <c r="L3" s="5"/>
      <c r="M3" s="5"/>
      <c r="N3" s="5"/>
      <c r="O3" s="5"/>
    </row>
    <row r="5" spans="2:16" x14ac:dyDescent="0.25">
      <c r="K5" s="11" t="s">
        <v>9</v>
      </c>
      <c r="L5" s="11"/>
      <c r="M5" s="11"/>
      <c r="N5" s="11"/>
      <c r="O5" s="11"/>
    </row>
    <row r="6" spans="2:16" x14ac:dyDescent="0.25">
      <c r="G6">
        <v>2021</v>
      </c>
      <c r="H6">
        <f>I6-1</f>
        <v>2022</v>
      </c>
      <c r="I6">
        <f>J6-1</f>
        <v>2023</v>
      </c>
      <c r="J6">
        <f>K6-1</f>
        <v>2024</v>
      </c>
      <c r="K6">
        <f>[1]Assumptions!$H$6</f>
        <v>2025</v>
      </c>
      <c r="L6">
        <f>K6+1</f>
        <v>2026</v>
      </c>
      <c r="M6">
        <f>L6+1</f>
        <v>2027</v>
      </c>
      <c r="N6">
        <f>M6+1</f>
        <v>2028</v>
      </c>
      <c r="O6">
        <f>N6+1</f>
        <v>2029</v>
      </c>
    </row>
    <row r="8" spans="2:16" x14ac:dyDescent="0.25">
      <c r="B8" s="9" t="s">
        <v>24</v>
      </c>
      <c r="F8" t="s">
        <v>25</v>
      </c>
      <c r="H8" s="18"/>
      <c r="I8" s="18"/>
      <c r="J8" s="18"/>
      <c r="K8" s="18">
        <f>J13</f>
        <v>347.9</v>
      </c>
      <c r="L8" s="18">
        <f ca="1">K13</f>
        <v>401.66666666666663</v>
      </c>
      <c r="M8" s="18">
        <f ca="1">L13</f>
        <v>435.00871615807642</v>
      </c>
      <c r="N8" s="18">
        <f ca="1">M13</f>
        <v>473.22294291097961</v>
      </c>
      <c r="O8" s="18">
        <f ca="1">N13</f>
        <v>515.35224468994625</v>
      </c>
    </row>
    <row r="9" spans="2:16" x14ac:dyDescent="0.25">
      <c r="B9" s="9" t="s">
        <v>26</v>
      </c>
      <c r="F9" t="s">
        <v>25</v>
      </c>
      <c r="H9" s="18"/>
      <c r="I9" s="18"/>
      <c r="J9" s="18"/>
      <c r="K9" s="18">
        <v>110</v>
      </c>
      <c r="L9" s="18">
        <f>Assumptions!K11*'Financial Forecast + DCF'!L13</f>
        <v>94.243269753540531</v>
      </c>
      <c r="M9" s="18">
        <f>Assumptions!L11*'Financial Forecast + DCF'!M13</f>
        <v>104.46543876044034</v>
      </c>
      <c r="N9" s="18">
        <f>Assumptions!M11*'Financial Forecast + DCF'!N13</f>
        <v>114.27861603555918</v>
      </c>
      <c r="O9" s="18">
        <f>Assumptions!N11*'Financial Forecast + DCF'!O13</f>
        <v>123.81144875901877</v>
      </c>
      <c r="P9" t="s">
        <v>119</v>
      </c>
    </row>
    <row r="10" spans="2:16" x14ac:dyDescent="0.25">
      <c r="H10" s="18"/>
      <c r="I10" s="18"/>
      <c r="J10" s="18"/>
      <c r="K10" s="18"/>
      <c r="L10" s="18"/>
      <c r="M10" s="18"/>
      <c r="N10" s="18"/>
      <c r="O10" s="18"/>
    </row>
    <row r="11" spans="2:16" x14ac:dyDescent="0.25">
      <c r="B11" s="9" t="s">
        <v>28</v>
      </c>
      <c r="F11" t="s">
        <v>25</v>
      </c>
      <c r="H11" s="18"/>
      <c r="I11" s="18"/>
      <c r="J11" s="18"/>
      <c r="K11" s="18">
        <f ca="1">0.14*K13</f>
        <v>56.233333333333334</v>
      </c>
      <c r="L11" s="18">
        <f ca="1">0.14*L13</f>
        <v>60.901220262130707</v>
      </c>
      <c r="M11" s="18">
        <f ca="1">0.14*M13</f>
        <v>66.251212007537148</v>
      </c>
      <c r="N11" s="18">
        <f ca="1">0.14*N13</f>
        <v>72.149314256592476</v>
      </c>
      <c r="O11" s="18">
        <f ca="1">0.14*O13</f>
        <v>78.493786914785204</v>
      </c>
      <c r="P11" t="s">
        <v>114</v>
      </c>
    </row>
    <row r="12" spans="2:16" x14ac:dyDescent="0.25">
      <c r="H12" s="18"/>
      <c r="I12" s="18"/>
      <c r="J12" s="18"/>
      <c r="K12" s="18"/>
      <c r="L12" s="18"/>
      <c r="M12" s="18"/>
      <c r="N12" s="18"/>
      <c r="O12" s="18"/>
    </row>
    <row r="13" spans="2:16" x14ac:dyDescent="0.25">
      <c r="B13" s="9" t="s">
        <v>30</v>
      </c>
      <c r="F13" t="s">
        <v>25</v>
      </c>
      <c r="H13" s="18"/>
      <c r="I13" s="18"/>
      <c r="J13" s="18">
        <v>347.9</v>
      </c>
      <c r="K13" s="18">
        <f ca="1">K8 + K9-K11</f>
        <v>401.66666666666663</v>
      </c>
      <c r="L13" s="18">
        <f ca="1">L8 + L9-L11</f>
        <v>435.00871615807642</v>
      </c>
      <c r="M13" s="18">
        <f ca="1">M8 + M9-M11</f>
        <v>473.22294291097961</v>
      </c>
      <c r="N13" s="18">
        <f ca="1">N8 + N9-N11</f>
        <v>515.35224468994636</v>
      </c>
      <c r="O13" s="18">
        <f ca="1">O8 + O9-O11</f>
        <v>560.66990653417974</v>
      </c>
    </row>
    <row r="15" spans="2:16" x14ac:dyDescent="0.25">
      <c r="B15" s="9" t="s">
        <v>29</v>
      </c>
      <c r="F15" t="s">
        <v>25</v>
      </c>
      <c r="K15">
        <v>112.6</v>
      </c>
      <c r="L15">
        <v>102.1</v>
      </c>
      <c r="M15">
        <v>89.7</v>
      </c>
      <c r="N15">
        <v>89.6</v>
      </c>
      <c r="O15">
        <v>89.6</v>
      </c>
      <c r="P15" t="s">
        <v>118</v>
      </c>
    </row>
    <row r="17" spans="2:16" x14ac:dyDescent="0.25">
      <c r="B17" s="9" t="s">
        <v>115</v>
      </c>
      <c r="F17" t="s">
        <v>25</v>
      </c>
      <c r="K17" s="21">
        <f ca="1">SUM(K11+K15)</f>
        <v>168.83333333333331</v>
      </c>
      <c r="L17" s="21">
        <f ca="1">SUM(L11,L15)</f>
        <v>163.00122026213069</v>
      </c>
      <c r="M17" s="21">
        <f ca="1">SUM(M11,M15)</f>
        <v>155.95121200753715</v>
      </c>
      <c r="N17" s="21">
        <f ca="1">SUM(N11,N15)</f>
        <v>161.74931425659247</v>
      </c>
      <c r="O17" s="21">
        <f ca="1">SUM(O11,O15)</f>
        <v>168.0937869147852</v>
      </c>
    </row>
    <row r="19" spans="2:16" x14ac:dyDescent="0.25">
      <c r="B19" s="9" t="s">
        <v>192</v>
      </c>
      <c r="F19" t="s">
        <v>25</v>
      </c>
      <c r="K19">
        <v>205</v>
      </c>
      <c r="L19">
        <f ca="1">(205/168.83)*L17</f>
        <v>197.92246729690689</v>
      </c>
      <c r="M19">
        <f ca="1">(205/168.83)*M17</f>
        <v>189.36207108656703</v>
      </c>
      <c r="N19">
        <f ca="1">(205/168.83)*N17</f>
        <v>196.40235398093617</v>
      </c>
      <c r="O19">
        <f ca="1">(205/168.83)*O17</f>
        <v>204.10606123041498</v>
      </c>
      <c r="P19" t="s">
        <v>147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31E7-EE06-47AE-84E3-8DAF699182C1}">
  <dimension ref="B1:Q32"/>
  <sheetViews>
    <sheetView zoomScale="90" zoomScaleNormal="90" workbookViewId="0">
      <selection activeCell="L23" sqref="L23"/>
    </sheetView>
  </sheetViews>
  <sheetFormatPr defaultRowHeight="15" x14ac:dyDescent="0.25"/>
  <cols>
    <col min="1" max="1" width="4" customWidth="1"/>
    <col min="16" max="16" width="2.85546875" customWidth="1"/>
  </cols>
  <sheetData>
    <row r="1" spans="2:15" ht="28.5" x14ac:dyDescent="0.45">
      <c r="B1" s="1" t="s">
        <v>86</v>
      </c>
      <c r="C1" s="2"/>
      <c r="D1" s="2"/>
      <c r="E1" s="2"/>
      <c r="F1" s="2"/>
      <c r="G1" s="2"/>
      <c r="H1" s="2"/>
      <c r="I1" s="2"/>
      <c r="J1" s="2"/>
      <c r="K1" s="2"/>
      <c r="L1" s="2"/>
      <c r="M1" s="2"/>
      <c r="N1" s="2"/>
      <c r="O1" s="2"/>
    </row>
    <row r="2" spans="2:15" ht="28.5" x14ac:dyDescent="0.45">
      <c r="B2" s="4" t="s">
        <v>43</v>
      </c>
      <c r="C2" s="5"/>
      <c r="D2" s="5"/>
      <c r="E2" s="5"/>
      <c r="F2" s="5"/>
      <c r="G2" s="5"/>
      <c r="H2" s="5"/>
      <c r="I2" s="5"/>
      <c r="J2" s="5"/>
      <c r="K2" s="5"/>
      <c r="L2" s="5"/>
      <c r="M2" s="5"/>
      <c r="N2" s="5"/>
      <c r="O2" s="5"/>
    </row>
    <row r="5" spans="2:15" x14ac:dyDescent="0.25">
      <c r="K5" s="11" t="s">
        <v>9</v>
      </c>
      <c r="L5" s="11"/>
      <c r="M5" s="11"/>
      <c r="N5" s="11"/>
      <c r="O5" s="11"/>
    </row>
    <row r="6" spans="2:15" x14ac:dyDescent="0.25">
      <c r="G6">
        <v>2021</v>
      </c>
      <c r="H6">
        <f>I6-1</f>
        <v>2022</v>
      </c>
      <c r="I6">
        <f>J6-1</f>
        <v>2023</v>
      </c>
      <c r="J6">
        <f>K6-1</f>
        <v>2024</v>
      </c>
      <c r="K6">
        <f>[1]Assumptions!$H$6</f>
        <v>2025</v>
      </c>
      <c r="L6">
        <f>K6+1</f>
        <v>2026</v>
      </c>
      <c r="M6">
        <f>L6+1</f>
        <v>2027</v>
      </c>
      <c r="N6">
        <f>M6+1</f>
        <v>2028</v>
      </c>
      <c r="O6">
        <f>N6+1</f>
        <v>2029</v>
      </c>
    </row>
    <row r="8" spans="2:15" x14ac:dyDescent="0.25">
      <c r="B8" s="9" t="s">
        <v>44</v>
      </c>
      <c r="H8" s="25">
        <v>365</v>
      </c>
      <c r="I8" s="25">
        <f>DATE(I6, 12,31) - DATE(H6, 12, 31)</f>
        <v>365</v>
      </c>
      <c r="J8" s="25">
        <f t="shared" ref="J8:O8" si="0">DATE(J6, 12,31) - DATE(I6, 12, 31)</f>
        <v>366</v>
      </c>
      <c r="K8" s="25">
        <f>DATE(K6, 12,31) - DATE(J6, 12, 31)</f>
        <v>365</v>
      </c>
      <c r="L8" s="25">
        <f t="shared" si="0"/>
        <v>365</v>
      </c>
      <c r="M8" s="25">
        <f>DATE(M6, 12,31) - DATE(L6, 12, 31)</f>
        <v>365</v>
      </c>
      <c r="N8" s="25">
        <f t="shared" si="0"/>
        <v>366</v>
      </c>
      <c r="O8" s="25">
        <f t="shared" si="0"/>
        <v>365</v>
      </c>
    </row>
    <row r="9" spans="2:15" x14ac:dyDescent="0.25">
      <c r="H9" s="25"/>
      <c r="I9" s="25"/>
      <c r="J9" s="25"/>
      <c r="K9" s="25"/>
      <c r="L9" s="25"/>
      <c r="M9" s="25"/>
      <c r="N9" s="25"/>
      <c r="O9" s="25"/>
    </row>
    <row r="10" spans="2:15" x14ac:dyDescent="0.25">
      <c r="B10" s="9" t="s">
        <v>45</v>
      </c>
      <c r="H10" s="25"/>
      <c r="I10" s="25"/>
      <c r="J10" s="25"/>
      <c r="K10" s="25"/>
      <c r="L10" s="25"/>
      <c r="M10" s="25"/>
      <c r="N10" s="25"/>
      <c r="O10" s="25"/>
    </row>
    <row r="11" spans="2:15" x14ac:dyDescent="0.25">
      <c r="C11" t="s">
        <v>50</v>
      </c>
      <c r="F11" t="s">
        <v>25</v>
      </c>
      <c r="G11">
        <f>'Financial Forecast + DCF'!G13</f>
        <v>1902.3</v>
      </c>
      <c r="H11">
        <f>'Financial Forecast + DCF'!H13</f>
        <v>2295.1</v>
      </c>
      <c r="I11">
        <f>'Financial Forecast + DCF'!I13</f>
        <v>2668.9</v>
      </c>
      <c r="J11">
        <f>'Financial Forecast + DCF'!J13</f>
        <v>3006.1</v>
      </c>
      <c r="K11">
        <f>'Financial Forecast + DCF'!K13</f>
        <v>3855.2254469999998</v>
      </c>
      <c r="L11">
        <f>'Financial Forecast + DCF'!L13</f>
        <v>4303.0187267374504</v>
      </c>
      <c r="M11">
        <f>'Financial Forecast + DCF'!M13</f>
        <v>4769.7489747391919</v>
      </c>
      <c r="N11">
        <f>'Financial Forecast + DCF'!N13</f>
        <v>5217.8052199655986</v>
      </c>
      <c r="O11">
        <f>'Financial Forecast + DCF'!O13</f>
        <v>5653.06131660969</v>
      </c>
    </row>
    <row r="12" spans="2:15" x14ac:dyDescent="0.25">
      <c r="C12" t="s">
        <v>12</v>
      </c>
      <c r="F12" t="s">
        <v>25</v>
      </c>
      <c r="G12">
        <f>'Financial Forecast + DCF'!G16</f>
        <v>1173.5172</v>
      </c>
      <c r="H12">
        <f>'Financial Forecast + DCF'!H16</f>
        <v>1472.2</v>
      </c>
      <c r="I12">
        <f>'Financial Forecast + DCF'!I16</f>
        <v>1593.7</v>
      </c>
      <c r="J12">
        <f>'Financial Forecast + DCF'!J16</f>
        <v>1797</v>
      </c>
      <c r="K12">
        <f>'Financial Forecast + DCF'!K16</f>
        <v>2340.1218463289997</v>
      </c>
      <c r="L12">
        <f>'Financial Forecast + DCF'!L16</f>
        <v>2581.8112360424702</v>
      </c>
      <c r="M12">
        <f>'Financial Forecast + DCF'!M16</f>
        <v>2833.2308909950798</v>
      </c>
      <c r="N12">
        <f>'Financial Forecast + DCF'!N16</f>
        <v>3062.8516641198062</v>
      </c>
      <c r="O12">
        <f>'Financial Forecast + DCF'!O16</f>
        <v>3278.7755636336201</v>
      </c>
    </row>
    <row r="13" spans="2:15" x14ac:dyDescent="0.25">
      <c r="H13" s="25"/>
      <c r="I13" s="25"/>
      <c r="J13" s="25"/>
      <c r="K13" s="25"/>
      <c r="L13" s="25"/>
      <c r="M13" s="25"/>
      <c r="N13" s="25"/>
      <c r="O13" s="25"/>
    </row>
    <row r="14" spans="2:15" x14ac:dyDescent="0.25">
      <c r="B14" s="9" t="s">
        <v>46</v>
      </c>
      <c r="H14" s="25"/>
      <c r="I14" s="25"/>
      <c r="J14" s="25"/>
      <c r="K14" s="25"/>
      <c r="L14" s="25"/>
      <c r="M14" s="25"/>
      <c r="N14" s="25"/>
      <c r="O14" s="25"/>
    </row>
    <row r="15" spans="2:15" x14ac:dyDescent="0.25">
      <c r="C15" s="26" t="s">
        <v>41</v>
      </c>
      <c r="F15" t="s">
        <v>47</v>
      </c>
      <c r="H15" s="25">
        <f>AVERAGE(H20,G20)/I11*I8</f>
        <v>62.267038854958969</v>
      </c>
      <c r="I15" s="25">
        <f t="shared" ref="I15:O15" si="1">AVERAGE(H20,I20)/I11*I8</f>
        <v>64.462044287908867</v>
      </c>
      <c r="J15" s="25">
        <f t="shared" si="1"/>
        <v>57.424536775223714</v>
      </c>
      <c r="K15" s="25">
        <f t="shared" si="1"/>
        <v>45.664106274259112</v>
      </c>
      <c r="L15" s="25">
        <f t="shared" si="1"/>
        <v>42.152621766611382</v>
      </c>
      <c r="M15" s="25">
        <f t="shared" si="1"/>
        <v>38.878042251366971</v>
      </c>
      <c r="N15" s="25">
        <f t="shared" si="1"/>
        <v>36.439602257295277</v>
      </c>
      <c r="O15" s="25">
        <f t="shared" si="1"/>
        <v>34.28907459933415</v>
      </c>
    </row>
    <row r="16" spans="2:15" x14ac:dyDescent="0.25">
      <c r="C16" s="27" t="s">
        <v>48</v>
      </c>
      <c r="F16" t="s">
        <v>47</v>
      </c>
      <c r="H16" s="25">
        <f>AVERAGE(G22,H22)/I12*I8</f>
        <v>76.563656899039955</v>
      </c>
      <c r="I16" s="25">
        <f t="shared" ref="I16:O16" si="2">AVERAGE(I22,H22)/I12*I8</f>
        <v>80.949519984940707</v>
      </c>
      <c r="J16" s="25">
        <f t="shared" si="2"/>
        <v>73.373121869782963</v>
      </c>
      <c r="K16" s="25">
        <f t="shared" si="2"/>
        <v>58.120555118715387</v>
      </c>
      <c r="L16" s="25">
        <f t="shared" si="2"/>
        <v>55.370494043770378</v>
      </c>
      <c r="M16" s="25">
        <f t="shared" si="2"/>
        <v>52.219006344554991</v>
      </c>
      <c r="N16" s="25">
        <f t="shared" si="2"/>
        <v>50.091226326501946</v>
      </c>
      <c r="O16" s="25">
        <f t="shared" si="2"/>
        <v>48.197166154745673</v>
      </c>
    </row>
    <row r="17" spans="2:17" x14ac:dyDescent="0.25">
      <c r="C17" s="27" t="s">
        <v>42</v>
      </c>
      <c r="F17" t="s">
        <v>47</v>
      </c>
      <c r="H17" s="25">
        <f>AVERAGE(H24,G24)/G12*I8</f>
        <v>79.794953154499993</v>
      </c>
      <c r="I17" s="25">
        <f>AVERAGE(H24,I24)/I12*I8</f>
        <v>56.329139737717263</v>
      </c>
      <c r="J17" s="25">
        <f>AVERAGE(I24,J24)/J12*J8</f>
        <v>52.944741235392328</v>
      </c>
      <c r="K17" s="25">
        <f>AVERAGE(I17,J17)</f>
        <v>54.636940486554792</v>
      </c>
      <c r="L17" s="25">
        <f>K17</f>
        <v>54.636940486554792</v>
      </c>
      <c r="M17" s="25">
        <f>L17</f>
        <v>54.636940486554792</v>
      </c>
      <c r="N17" s="25">
        <f>M17</f>
        <v>54.636940486554792</v>
      </c>
      <c r="O17" s="25">
        <f>N17</f>
        <v>54.636940486554792</v>
      </c>
    </row>
    <row r="18" spans="2:17" x14ac:dyDescent="0.25">
      <c r="H18" s="25"/>
      <c r="I18" s="25"/>
      <c r="J18" s="25"/>
      <c r="K18" s="25"/>
      <c r="L18" s="25"/>
      <c r="M18" s="25"/>
      <c r="N18" s="25"/>
      <c r="O18" s="25"/>
    </row>
    <row r="19" spans="2:17" x14ac:dyDescent="0.25">
      <c r="B19" s="9" t="s">
        <v>49</v>
      </c>
      <c r="H19" s="25"/>
      <c r="I19" s="25"/>
      <c r="J19" s="25"/>
      <c r="K19" s="25"/>
      <c r="L19" s="25"/>
      <c r="M19" s="25"/>
      <c r="N19" s="25"/>
      <c r="O19" s="25"/>
    </row>
    <row r="20" spans="2:17" x14ac:dyDescent="0.25">
      <c r="C20" s="26" t="s">
        <v>41</v>
      </c>
      <c r="F20" t="s">
        <v>25</v>
      </c>
      <c r="G20">
        <v>438.1</v>
      </c>
      <c r="H20" s="25">
        <v>472.5</v>
      </c>
      <c r="I20" s="25">
        <v>470.2</v>
      </c>
      <c r="J20" s="25">
        <v>473.1</v>
      </c>
      <c r="K20" s="25">
        <f>$J$20 + ((8/58)*(K11/$J$11-1)*J20)</f>
        <v>491.53246313992355</v>
      </c>
      <c r="L20" s="25">
        <f>$J$20 + ((8/58)*(L11/$J$11-1)*K20)</f>
        <v>502.34984284807342</v>
      </c>
      <c r="M20" s="25">
        <f>$J$20 + ((8/58)*(M11/$J$11-1)*L20)</f>
        <v>513.75153889617081</v>
      </c>
      <c r="N20" s="25">
        <f>$J$20 + ((8/58)*(N11/$J$11-1)*M20)</f>
        <v>525.23614892670059</v>
      </c>
      <c r="O20" s="25">
        <f>$J$20 + ((8/58)*(O11/$J$11-1)*N20)</f>
        <v>536.89120011351736</v>
      </c>
      <c r="Q20" t="s">
        <v>137</v>
      </c>
    </row>
    <row r="21" spans="2:17" x14ac:dyDescent="0.25">
      <c r="C21" s="45" t="s">
        <v>129</v>
      </c>
      <c r="G21">
        <f t="shared" ref="G21:O21" si="3">G20/G11</f>
        <v>0.23030016296062664</v>
      </c>
      <c r="H21">
        <f t="shared" si="3"/>
        <v>0.20587338242342382</v>
      </c>
      <c r="I21">
        <f t="shared" si="3"/>
        <v>0.1761774513844655</v>
      </c>
      <c r="J21">
        <f t="shared" si="3"/>
        <v>0.15737999401217526</v>
      </c>
      <c r="K21">
        <f t="shared" si="3"/>
        <v>0.12749772222073724</v>
      </c>
      <c r="L21">
        <f t="shared" si="3"/>
        <v>0.11674358740914781</v>
      </c>
      <c r="M21">
        <f t="shared" si="3"/>
        <v>0.10771039348548998</v>
      </c>
      <c r="N21">
        <f t="shared" si="3"/>
        <v>0.10066227595405784</v>
      </c>
      <c r="O21">
        <f t="shared" si="3"/>
        <v>9.4973532046439407E-2</v>
      </c>
      <c r="Q21" t="s">
        <v>138</v>
      </c>
    </row>
    <row r="22" spans="2:17" x14ac:dyDescent="0.25">
      <c r="C22" s="27" t="s">
        <v>48</v>
      </c>
      <c r="F22" t="s">
        <v>25</v>
      </c>
      <c r="G22">
        <v>321.89999999999998</v>
      </c>
      <c r="H22" s="25">
        <v>346.7</v>
      </c>
      <c r="I22" s="25">
        <v>360.2</v>
      </c>
      <c r="J22" s="25">
        <v>360.3</v>
      </c>
      <c r="K22" s="25">
        <f>$J$22+((K12/$J$12-1)*(12/53)*J22)</f>
        <v>384.95578495383359</v>
      </c>
      <c r="L22" s="25">
        <f>$J$22+((L12/$J$12-1)*(12/53)*K22)</f>
        <v>398.36565979920215</v>
      </c>
      <c r="M22" s="25">
        <f>$J$22+((M12/$J$12-1)*(12/53)*L22)</f>
        <v>412.31106278962676</v>
      </c>
      <c r="N22" s="25">
        <f>$J$22+((N12/$J$12-1)*(12/53)*M22)</f>
        <v>426.06049957063726</v>
      </c>
      <c r="O22" s="25">
        <f>$J$22+((O12/$J$12-1)*(12/53)*N22)</f>
        <v>439.84465453659277</v>
      </c>
      <c r="Q22" t="s">
        <v>135</v>
      </c>
    </row>
    <row r="23" spans="2:17" x14ac:dyDescent="0.25">
      <c r="C23" s="46" t="s">
        <v>130</v>
      </c>
      <c r="G23">
        <f t="shared" ref="G23:O23" si="4">G22/G12</f>
        <v>0.27430360628715111</v>
      </c>
      <c r="H23">
        <f t="shared" si="4"/>
        <v>0.2354978943078386</v>
      </c>
      <c r="I23">
        <f t="shared" si="4"/>
        <v>0.22601493380184476</v>
      </c>
      <c r="J23">
        <f t="shared" si="4"/>
        <v>0.20050083472454092</v>
      </c>
      <c r="K23">
        <f t="shared" si="4"/>
        <v>0.16450245339050279</v>
      </c>
      <c r="L23">
        <f t="shared" si="4"/>
        <v>0.15429697347271484</v>
      </c>
      <c r="M23">
        <f t="shared" si="4"/>
        <v>0.14552681325764311</v>
      </c>
      <c r="N23">
        <f t="shared" si="4"/>
        <v>0.13910582238173044</v>
      </c>
      <c r="O23">
        <f t="shared" si="4"/>
        <v>0.13414905839091532</v>
      </c>
      <c r="Q23" t="s">
        <v>136</v>
      </c>
    </row>
    <row r="24" spans="2:17" x14ac:dyDescent="0.25">
      <c r="C24" s="26" t="s">
        <v>42</v>
      </c>
      <c r="F24" t="s">
        <v>25</v>
      </c>
      <c r="G24">
        <v>261</v>
      </c>
      <c r="H24" s="25">
        <v>252.1</v>
      </c>
      <c r="I24" s="25">
        <v>239.8</v>
      </c>
      <c r="J24" s="25">
        <v>280.10000000000002</v>
      </c>
      <c r="K24" s="25">
        <f>$J$24+((7/53)*(K12/$J$12-1)*J24)</f>
        <v>291.28109851951649</v>
      </c>
      <c r="L24" s="25">
        <f>$J$24+((7/53)*(L12/$J$12-1)*K24)</f>
        <v>296.90163745397859</v>
      </c>
      <c r="M24" s="25">
        <f>$J$24+((7/53)*(M12/$J$12-1)*L24)</f>
        <v>302.71222097854752</v>
      </c>
      <c r="N24" s="25">
        <f>$J$24+((7/53)*(N12/$J$12-1)*M24)</f>
        <v>308.26351551039659</v>
      </c>
      <c r="O24" s="25">
        <f>$J$24+((7/53)*(O12/$J$12-1)*N24)</f>
        <v>313.67211086718635</v>
      </c>
      <c r="Q24" t="s">
        <v>204</v>
      </c>
    </row>
    <row r="25" spans="2:17" x14ac:dyDescent="0.25">
      <c r="C25" s="12" t="s">
        <v>130</v>
      </c>
      <c r="G25">
        <f t="shared" ref="G25:O25" si="5">G24/G12</f>
        <v>0.22240832942201444</v>
      </c>
      <c r="H25">
        <f t="shared" si="5"/>
        <v>0.17124032060861294</v>
      </c>
      <c r="I25">
        <f t="shared" si="5"/>
        <v>0.15046746564598104</v>
      </c>
      <c r="J25">
        <f t="shared" si="5"/>
        <v>0.15587089593767392</v>
      </c>
      <c r="K25">
        <f t="shared" si="5"/>
        <v>0.12447262050754131</v>
      </c>
      <c r="L25">
        <f t="shared" si="5"/>
        <v>0.11499742247194041</v>
      </c>
      <c r="M25">
        <f t="shared" si="5"/>
        <v>0.10684347044946617</v>
      </c>
      <c r="N25">
        <f t="shared" si="5"/>
        <v>0.10064591737222915</v>
      </c>
      <c r="O25">
        <f t="shared" si="5"/>
        <v>9.5667454139363894E-2</v>
      </c>
      <c r="Q25" t="s">
        <v>138</v>
      </c>
    </row>
    <row r="32" spans="2:17" x14ac:dyDescent="0.25">
      <c r="O32">
        <v>5.3</v>
      </c>
      <c r="P32" t="s">
        <v>56</v>
      </c>
      <c r="Q32" t="s">
        <v>131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4737-EE5F-41B1-8454-0A53513787E6}">
  <dimension ref="A1:X63"/>
  <sheetViews>
    <sheetView zoomScale="82" zoomScaleNormal="82" workbookViewId="0">
      <selection activeCell="Q73" sqref="Q73"/>
    </sheetView>
  </sheetViews>
  <sheetFormatPr defaultRowHeight="15" x14ac:dyDescent="0.25"/>
  <cols>
    <col min="1" max="1" width="3" customWidth="1"/>
    <col min="2" max="2" width="3.140625" customWidth="1"/>
    <col min="3" max="3" width="18.42578125" customWidth="1"/>
    <col min="4" max="4" width="9.140625" customWidth="1"/>
    <col min="11" max="12" width="9" bestFit="1" customWidth="1"/>
    <col min="13" max="13" width="9.7109375" customWidth="1"/>
    <col min="14" max="15" width="10" bestFit="1" customWidth="1"/>
  </cols>
  <sheetData>
    <row r="1" spans="2:15" x14ac:dyDescent="0.25">
      <c r="O1" s="10" t="str">
        <f>UPPER("currently running: " &amp;CHOOSE(Scenarios!$D$6, Scenarios!$D$12,Scenarios!$D$13, Scenarios!$D$14)&amp;" scenario")</f>
        <v>CURRENTLY RUNNING: BASE CASE SCENARIO</v>
      </c>
    </row>
    <row r="2" spans="2:15" ht="28.5" x14ac:dyDescent="0.45">
      <c r="B2" s="1" t="s">
        <v>86</v>
      </c>
      <c r="C2" s="2"/>
      <c r="D2" s="2"/>
      <c r="E2" s="2"/>
      <c r="F2" s="2"/>
      <c r="G2" s="2"/>
      <c r="H2" s="2"/>
      <c r="I2" s="2"/>
      <c r="J2" s="2"/>
      <c r="K2" s="2"/>
      <c r="L2" s="2"/>
      <c r="M2" s="2"/>
      <c r="N2" s="2"/>
      <c r="O2" s="2"/>
    </row>
    <row r="3" spans="2:15" ht="28.5" x14ac:dyDescent="0.45">
      <c r="B3" s="4" t="s">
        <v>8</v>
      </c>
      <c r="C3" s="5"/>
      <c r="D3" s="5"/>
      <c r="E3" s="5"/>
      <c r="F3" s="5"/>
      <c r="G3" s="5"/>
      <c r="H3" s="5"/>
      <c r="I3" s="5"/>
      <c r="J3" s="5"/>
      <c r="K3" s="5"/>
      <c r="L3" s="5"/>
      <c r="M3" s="5"/>
      <c r="N3" s="5"/>
      <c r="O3" s="5"/>
    </row>
    <row r="6" spans="2:15" x14ac:dyDescent="0.25">
      <c r="K6" s="11" t="s">
        <v>9</v>
      </c>
      <c r="L6" s="11"/>
      <c r="M6" s="11"/>
      <c r="N6" s="11"/>
      <c r="O6" s="11"/>
    </row>
    <row r="7" spans="2:15" x14ac:dyDescent="0.25">
      <c r="G7">
        <v>2021</v>
      </c>
      <c r="H7">
        <f>I7-1</f>
        <v>2022</v>
      </c>
      <c r="I7">
        <f>J7-1</f>
        <v>2023</v>
      </c>
      <c r="J7">
        <f>K7-1</f>
        <v>2024</v>
      </c>
      <c r="K7">
        <f>[1]Assumptions!$H$6</f>
        <v>2025</v>
      </c>
      <c r="L7">
        <f>K7+1</f>
        <v>2026</v>
      </c>
      <c r="M7">
        <f>L7+1</f>
        <v>2027</v>
      </c>
      <c r="N7">
        <f>M7+1</f>
        <v>2028</v>
      </c>
      <c r="O7">
        <f>N7+1</f>
        <v>2029</v>
      </c>
    </row>
    <row r="9" spans="2:15" x14ac:dyDescent="0.25">
      <c r="B9" s="13" t="s">
        <v>87</v>
      </c>
      <c r="E9" s="6" t="s">
        <v>208</v>
      </c>
      <c r="G9" s="22">
        <v>1244.8</v>
      </c>
      <c r="H9" s="22">
        <v>1503.7</v>
      </c>
      <c r="I9" s="22">
        <v>1605.9</v>
      </c>
      <c r="J9" s="22">
        <v>1823.3</v>
      </c>
      <c r="K9" s="22">
        <f>J9*(1+K10)</f>
        <v>2316.0832909999999</v>
      </c>
      <c r="L9" s="22">
        <f>K9*(1+L10)</f>
        <v>2587.8756651988501</v>
      </c>
      <c r="M9" s="22">
        <f>L9*(1+M10)</f>
        <v>2865.4770878047307</v>
      </c>
      <c r="N9" s="22">
        <f>M9*(1+N10)</f>
        <v>3115.2034160069129</v>
      </c>
      <c r="O9" s="22">
        <f>N9*(1+O10)</f>
        <v>3354.9806229369651</v>
      </c>
    </row>
    <row r="10" spans="2:15" x14ac:dyDescent="0.25">
      <c r="C10" s="12" t="s">
        <v>10</v>
      </c>
      <c r="D10" s="12"/>
      <c r="H10" s="17">
        <f>H9/G9 - 1</f>
        <v>0.20798521850899743</v>
      </c>
      <c r="I10" s="17">
        <f>I9/H9 - 1</f>
        <v>6.7965684644543556E-2</v>
      </c>
      <c r="J10" s="17">
        <f>J9/I9 - 1</f>
        <v>0.13537580173111641</v>
      </c>
      <c r="K10" s="17">
        <f>Scenarios!G11</f>
        <v>0.27027000000000001</v>
      </c>
      <c r="L10" s="17">
        <f>Scenarios!H11</f>
        <v>0.11735000000000001</v>
      </c>
      <c r="M10" s="17">
        <f>Scenarios!I11</f>
        <v>0.10727</v>
      </c>
      <c r="N10" s="17">
        <f>Scenarios!J11</f>
        <v>8.7150000000000005E-2</v>
      </c>
      <c r="O10" s="17">
        <f>Scenarios!K11</f>
        <v>7.6970000000000011E-2</v>
      </c>
    </row>
    <row r="11" spans="2:15" x14ac:dyDescent="0.25">
      <c r="B11" s="13" t="s">
        <v>88</v>
      </c>
      <c r="E11" s="6" t="s">
        <v>208</v>
      </c>
      <c r="G11" s="22">
        <v>657.5</v>
      </c>
      <c r="H11" s="22">
        <v>791.4</v>
      </c>
      <c r="I11" s="22">
        <v>1063</v>
      </c>
      <c r="J11" s="22">
        <v>1182.8</v>
      </c>
      <c r="K11" s="22">
        <f>J11*(1+K12)</f>
        <v>1539.1421560000001</v>
      </c>
      <c r="L11" s="22">
        <f>K11*(1+L12)</f>
        <v>1715.1430615386</v>
      </c>
      <c r="M11" s="22">
        <f>L11*(1+M12)</f>
        <v>1904.2718869344617</v>
      </c>
      <c r="N11" s="22">
        <f>M11*(1+N12)</f>
        <v>2102.6018039586857</v>
      </c>
      <c r="O11" s="22">
        <f>N11*(1+O12)</f>
        <v>2298.0806936727245</v>
      </c>
    </row>
    <row r="12" spans="2:15" x14ac:dyDescent="0.25">
      <c r="B12" s="14"/>
      <c r="C12" s="15" t="s">
        <v>10</v>
      </c>
      <c r="D12" s="15"/>
      <c r="E12" s="14"/>
      <c r="F12" s="14"/>
      <c r="G12" s="14"/>
      <c r="H12" s="17">
        <f>H11/G11 - 1</f>
        <v>0.20365019011406837</v>
      </c>
      <c r="I12" s="17">
        <f>I11/H11 - 1</f>
        <v>0.34318928481172617</v>
      </c>
      <c r="J12" s="17">
        <f>J11/I11 - 1</f>
        <v>0.11269990592662271</v>
      </c>
      <c r="K12" s="48">
        <f>Scenarios!G16</f>
        <v>0.30127000000000004</v>
      </c>
      <c r="L12" s="48">
        <f>Scenarios!H16</f>
        <v>0.11435000000000001</v>
      </c>
      <c r="M12" s="48">
        <f>Scenarios!I16</f>
        <v>0.11027000000000001</v>
      </c>
      <c r="N12" s="48">
        <f>Scenarios!J16</f>
        <v>0.10414999999999999</v>
      </c>
      <c r="O12" s="48">
        <f>Scenarios!K16</f>
        <v>9.2969999999999997E-2</v>
      </c>
    </row>
    <row r="13" spans="2:15" x14ac:dyDescent="0.25">
      <c r="B13" s="9" t="s">
        <v>11</v>
      </c>
      <c r="E13" s="6" t="s">
        <v>208</v>
      </c>
      <c r="G13" s="22">
        <f t="shared" ref="G13:O13" si="0">G9+G11</f>
        <v>1902.3</v>
      </c>
      <c r="H13" s="22">
        <f t="shared" si="0"/>
        <v>2295.1</v>
      </c>
      <c r="I13" s="22">
        <f t="shared" si="0"/>
        <v>2668.9</v>
      </c>
      <c r="J13" s="22">
        <f t="shared" si="0"/>
        <v>3006.1</v>
      </c>
      <c r="K13" s="22">
        <f t="shared" si="0"/>
        <v>3855.2254469999998</v>
      </c>
      <c r="L13" s="22">
        <f t="shared" si="0"/>
        <v>4303.0187267374504</v>
      </c>
      <c r="M13" s="22">
        <f t="shared" si="0"/>
        <v>4769.7489747391919</v>
      </c>
      <c r="N13" s="22">
        <f t="shared" si="0"/>
        <v>5217.8052199655986</v>
      </c>
      <c r="O13" s="22">
        <f t="shared" si="0"/>
        <v>5653.06131660969</v>
      </c>
    </row>
    <row r="14" spans="2:15" x14ac:dyDescent="0.25">
      <c r="B14" s="9"/>
      <c r="C14" s="12" t="s">
        <v>10</v>
      </c>
      <c r="H14" s="39">
        <f t="shared" ref="H14:O14" si="1">H13/G13 - 1</f>
        <v>0.20648688429795503</v>
      </c>
      <c r="I14" s="39">
        <f t="shared" si="1"/>
        <v>0.16286872031719768</v>
      </c>
      <c r="J14" s="39">
        <f t="shared" si="1"/>
        <v>0.12634418674360215</v>
      </c>
      <c r="K14" s="39">
        <f t="shared" si="1"/>
        <v>0.28246746515418653</v>
      </c>
      <c r="L14" s="39">
        <f t="shared" si="1"/>
        <v>0.11615229404700766</v>
      </c>
      <c r="M14" s="39">
        <f t="shared" si="1"/>
        <v>0.10846577197111484</v>
      </c>
      <c r="N14" s="39">
        <f t="shared" si="1"/>
        <v>9.3937070399161993E-2</v>
      </c>
      <c r="O14" s="39">
        <f t="shared" si="1"/>
        <v>8.3417467363214648E-2</v>
      </c>
    </row>
    <row r="15" spans="2:15" x14ac:dyDescent="0.25">
      <c r="B15" s="9"/>
    </row>
    <row r="16" spans="2:15" x14ac:dyDescent="0.25">
      <c r="B16" s="9" t="s">
        <v>12</v>
      </c>
      <c r="E16" s="6" t="s">
        <v>208</v>
      </c>
      <c r="G16" s="22">
        <f>1520.1*0.772</f>
        <v>1173.5172</v>
      </c>
      <c r="H16" s="22">
        <v>1472.2</v>
      </c>
      <c r="I16" s="22">
        <v>1593.7</v>
      </c>
      <c r="J16" s="22">
        <v>1797</v>
      </c>
      <c r="K16" s="22">
        <f>K13*K17</f>
        <v>2340.1218463289997</v>
      </c>
      <c r="L16" s="22">
        <f>L13*L17</f>
        <v>2581.8112360424702</v>
      </c>
      <c r="M16" s="22">
        <f>M13*M17</f>
        <v>2833.2308909950798</v>
      </c>
      <c r="N16" s="22">
        <f>N13*N17</f>
        <v>3062.8516641198062</v>
      </c>
      <c r="O16" s="22">
        <f>O13*O17</f>
        <v>3278.7755636336201</v>
      </c>
    </row>
    <row r="17" spans="2:15" x14ac:dyDescent="0.25">
      <c r="C17" s="12" t="s">
        <v>14</v>
      </c>
      <c r="G17" s="17">
        <f>G16/G13</f>
        <v>0.61689386532092727</v>
      </c>
      <c r="H17" s="17">
        <f>H16/H13</f>
        <v>0.64145353143653872</v>
      </c>
      <c r="I17" s="17">
        <f>I16/I13</f>
        <v>0.59713739742965266</v>
      </c>
      <c r="J17" s="17">
        <f>J16/J13</f>
        <v>0.59778450484015833</v>
      </c>
      <c r="K17" s="39">
        <f>Scenarios!G23</f>
        <v>0.60699999999999998</v>
      </c>
      <c r="L17" s="39">
        <f>Scenarios!H23</f>
        <v>0.6</v>
      </c>
      <c r="M17" s="39">
        <f>Scenarios!I23</f>
        <v>0.59399999999999997</v>
      </c>
      <c r="N17" s="39">
        <f>Scenarios!J23</f>
        <v>0.58699999999999997</v>
      </c>
      <c r="O17" s="39">
        <f>Scenarios!K23</f>
        <v>0.57999999999999996</v>
      </c>
    </row>
    <row r="19" spans="2:15" x14ac:dyDescent="0.25">
      <c r="B19" s="9" t="s">
        <v>15</v>
      </c>
      <c r="E19" s="6" t="s">
        <v>208</v>
      </c>
      <c r="G19" s="22">
        <f t="shared" ref="G19:O19" si="2">G13-G16</f>
        <v>728.78279999999995</v>
      </c>
      <c r="H19" s="22">
        <f t="shared" si="2"/>
        <v>822.89999999999986</v>
      </c>
      <c r="I19" s="22">
        <f t="shared" si="2"/>
        <v>1075.2</v>
      </c>
      <c r="J19" s="22">
        <f t="shared" si="2"/>
        <v>1209.0999999999999</v>
      </c>
      <c r="K19" s="22">
        <f t="shared" si="2"/>
        <v>1515.1036006710001</v>
      </c>
      <c r="L19" s="22">
        <f t="shared" si="2"/>
        <v>1721.2074906949802</v>
      </c>
      <c r="M19" s="22">
        <f t="shared" si="2"/>
        <v>1936.5180837441121</v>
      </c>
      <c r="N19" s="22">
        <f t="shared" si="2"/>
        <v>2154.9535558457924</v>
      </c>
      <c r="O19" s="22">
        <f t="shared" si="2"/>
        <v>2374.2857529760699</v>
      </c>
    </row>
    <row r="20" spans="2:15" x14ac:dyDescent="0.25">
      <c r="C20" s="12" t="s">
        <v>10</v>
      </c>
      <c r="H20" s="39">
        <f t="shared" ref="H20:O20" si="3">H19/G19 - 1</f>
        <v>0.12914300392380262</v>
      </c>
      <c r="I20" s="39">
        <f t="shared" si="3"/>
        <v>0.30659861465548688</v>
      </c>
      <c r="J20" s="39">
        <f t="shared" si="3"/>
        <v>0.12453497023809512</v>
      </c>
      <c r="K20" s="39">
        <f t="shared" si="3"/>
        <v>0.25308378187991076</v>
      </c>
      <c r="L20" s="39">
        <f t="shared" si="3"/>
        <v>0.13603286925904068</v>
      </c>
      <c r="M20" s="39">
        <f t="shared" si="3"/>
        <v>0.1250927585506818</v>
      </c>
      <c r="N20" s="39">
        <f t="shared" si="3"/>
        <v>0.11279805437156143</v>
      </c>
      <c r="O20" s="39">
        <f t="shared" si="3"/>
        <v>0.10178047528462497</v>
      </c>
    </row>
    <row r="22" spans="2:15" x14ac:dyDescent="0.25">
      <c r="B22" s="9" t="s">
        <v>16</v>
      </c>
      <c r="E22" s="6" t="s">
        <v>208</v>
      </c>
      <c r="H22" s="22">
        <f>468.3-H28</f>
        <v>381.9</v>
      </c>
      <c r="I22" s="22">
        <f>557.3-I28</f>
        <v>444.09999999999997</v>
      </c>
      <c r="J22" s="22">
        <f>615.9-J28</f>
        <v>469.9</v>
      </c>
      <c r="K22" s="22">
        <f>K13*K23</f>
        <v>602.63146187595214</v>
      </c>
      <c r="L22" s="22">
        <f>L13*L23</f>
        <v>658.36186519082992</v>
      </c>
      <c r="M22" s="22">
        <f>M13*M23</f>
        <v>720.23209518561794</v>
      </c>
      <c r="N22" s="22">
        <f>N13*N23</f>
        <v>782.67078299483978</v>
      </c>
      <c r="O22" s="22">
        <f>O13*O23</f>
        <v>842.3061361748438</v>
      </c>
    </row>
    <row r="23" spans="2:15" x14ac:dyDescent="0.25">
      <c r="C23" s="12" t="s">
        <v>14</v>
      </c>
      <c r="G23" s="17"/>
      <c r="H23" s="39">
        <f>H22/H13</f>
        <v>0.16639797830159905</v>
      </c>
      <c r="I23" s="39">
        <f>I22/I13</f>
        <v>0.16639814155644644</v>
      </c>
      <c r="J23" s="39">
        <f>J22/J13</f>
        <v>0.15631549183327234</v>
      </c>
      <c r="K23" s="39">
        <f>Assumptions!J9</f>
        <v>0.15631549183327234</v>
      </c>
      <c r="L23" s="39">
        <f>Assumptions!K9</f>
        <v>0.153</v>
      </c>
      <c r="M23" s="39">
        <f>Assumptions!L9</f>
        <v>0.151</v>
      </c>
      <c r="N23" s="39">
        <f>Assumptions!M9</f>
        <v>0.15</v>
      </c>
      <c r="O23" s="39">
        <f>Assumptions!N9</f>
        <v>0.14899999999999999</v>
      </c>
    </row>
    <row r="25" spans="2:15" x14ac:dyDescent="0.25">
      <c r="B25" s="9" t="s">
        <v>20</v>
      </c>
      <c r="E25" s="6" t="s">
        <v>208</v>
      </c>
      <c r="H25" s="22">
        <v>45.6</v>
      </c>
      <c r="I25" s="22">
        <v>55.2</v>
      </c>
      <c r="J25" s="22">
        <v>66.099999999999994</v>
      </c>
      <c r="K25" s="22">
        <f>K13*K26</f>
        <v>84.771099446691707</v>
      </c>
      <c r="L25" s="22">
        <f>L13*L26</f>
        <v>94.617457116311982</v>
      </c>
      <c r="M25" s="22">
        <f>M13*M26</f>
        <v>104.88021264437661</v>
      </c>
      <c r="N25" s="22">
        <f>N13*N26</f>
        <v>114.73235256303052</v>
      </c>
      <c r="O25" s="22">
        <f>O13*O26</f>
        <v>124.30303483846195</v>
      </c>
    </row>
    <row r="26" spans="2:15" x14ac:dyDescent="0.25">
      <c r="C26" s="12" t="s">
        <v>14</v>
      </c>
      <c r="G26" s="17"/>
      <c r="H26" s="39">
        <f>H25/H13</f>
        <v>1.9868415319593918E-2</v>
      </c>
      <c r="I26" s="39">
        <f>I25/I13</f>
        <v>2.0682678256959797E-2</v>
      </c>
      <c r="J26" s="39">
        <f>J25/J13</f>
        <v>2.1988623132962973E-2</v>
      </c>
      <c r="K26" s="39">
        <f>Assumptions!J10</f>
        <v>2.1988623132962973E-2</v>
      </c>
      <c r="L26" s="39">
        <f>Assumptions!K10</f>
        <v>2.1988623132962973E-2</v>
      </c>
      <c r="M26" s="39">
        <f>Assumptions!L10</f>
        <v>2.1988623132962973E-2</v>
      </c>
      <c r="N26" s="39">
        <f>Assumptions!M10</f>
        <v>2.1988623132962973E-2</v>
      </c>
      <c r="O26" s="39">
        <f>Assumptions!N10</f>
        <v>2.1988623132962973E-2</v>
      </c>
    </row>
    <row r="28" spans="2:15" x14ac:dyDescent="0.25">
      <c r="B28" s="9" t="s">
        <v>32</v>
      </c>
      <c r="E28" s="6" t="s">
        <v>208</v>
      </c>
      <c r="H28" s="22">
        <v>86.4</v>
      </c>
      <c r="I28" s="22">
        <v>113.2</v>
      </c>
      <c r="J28" s="22">
        <v>146</v>
      </c>
      <c r="K28" s="22">
        <f>'D&amp;A Calculations'!K19</f>
        <v>205</v>
      </c>
      <c r="L28" s="22">
        <f ca="1">'D&amp;A Calculations'!L19</f>
        <v>197.92246729690689</v>
      </c>
      <c r="M28" s="22">
        <f ca="1">'D&amp;A Calculations'!M19</f>
        <v>189.36207108656703</v>
      </c>
      <c r="N28" s="22">
        <f ca="1">'D&amp;A Calculations'!N19</f>
        <v>196.40235398093617</v>
      </c>
      <c r="O28" s="22">
        <f ca="1">'D&amp;A Calculations'!O19</f>
        <v>204.10606123041498</v>
      </c>
    </row>
    <row r="30" spans="2:15" x14ac:dyDescent="0.25">
      <c r="B30" s="9" t="s">
        <v>33</v>
      </c>
      <c r="E30" s="6" t="s">
        <v>208</v>
      </c>
      <c r="H30" s="22">
        <f>H19-H22-H25-H28</f>
        <v>308.99999999999989</v>
      </c>
      <c r="I30">
        <f t="shared" ref="I30:O30" si="4">I19-I22-I25-I28</f>
        <v>462.7000000000001</v>
      </c>
      <c r="J30">
        <f>J19-J22-J25-J28</f>
        <v>527.09999999999991</v>
      </c>
      <c r="K30" s="22">
        <f t="shared" si="4"/>
        <v>622.70103934835629</v>
      </c>
      <c r="L30" s="22">
        <f t="shared" ca="1" si="4"/>
        <v>770.30570109093128</v>
      </c>
      <c r="M30" s="22">
        <f t="shared" ca="1" si="4"/>
        <v>922.04370482755053</v>
      </c>
      <c r="N30" s="22">
        <f t="shared" ca="1" si="4"/>
        <v>1061.148066306986</v>
      </c>
      <c r="O30" s="22">
        <f t="shared" ca="1" si="4"/>
        <v>1203.5705207323492</v>
      </c>
    </row>
    <row r="31" spans="2:15" x14ac:dyDescent="0.25">
      <c r="C31" s="12" t="s">
        <v>10</v>
      </c>
      <c r="H31" s="39">
        <v>0.23899999999999999</v>
      </c>
      <c r="I31" s="39">
        <f t="shared" ref="I31:O31" si="5">I30/H30 - 1</f>
        <v>0.49741100323624687</v>
      </c>
      <c r="J31" s="39">
        <f t="shared" si="5"/>
        <v>0.13918305597579383</v>
      </c>
      <c r="K31" s="39">
        <f t="shared" si="5"/>
        <v>0.18137173088286174</v>
      </c>
      <c r="L31" s="39">
        <f t="shared" ca="1" si="5"/>
        <v>0.23703936948144522</v>
      </c>
      <c r="M31" s="39">
        <f t="shared" ca="1" si="5"/>
        <v>0.1969841369753893</v>
      </c>
      <c r="N31" s="39">
        <f t="shared" ca="1" si="5"/>
        <v>0.15086525806870754</v>
      </c>
      <c r="O31" s="39">
        <f t="shared" ca="1" si="5"/>
        <v>0.13421543981229944</v>
      </c>
    </row>
    <row r="33" spans="1:24" x14ac:dyDescent="0.25">
      <c r="B33" s="9" t="s">
        <v>38</v>
      </c>
      <c r="E33" s="6" t="s">
        <v>208</v>
      </c>
      <c r="H33" s="22">
        <v>31.2</v>
      </c>
      <c r="I33" s="22">
        <v>79.400000000000006</v>
      </c>
      <c r="J33" s="22">
        <v>106</v>
      </c>
      <c r="K33" s="22">
        <f>(271.6*0.05416)+(500*0.0455)+(300*0.0275)+(500*0.0565)</f>
        <v>73.959856000000002</v>
      </c>
      <c r="L33" s="22">
        <f>(271.6*0.05416)+(500*0.0455)+(300*0.0275)+(500*0.0565)</f>
        <v>73.959856000000002</v>
      </c>
      <c r="M33" s="22">
        <f>(271.6*0.05416)+(500*0.0455)+(300*0.0275)+(500*0.0565)</f>
        <v>73.959856000000002</v>
      </c>
      <c r="N33" s="22">
        <f>(271.6*0.05416)+(500*0.0455)+(300*0.0275)+(500*0.0565)</f>
        <v>73.959856000000002</v>
      </c>
      <c r="O33" s="22">
        <f>(271.6*0.05416)+(300*0.0275)+(500*0.0565)</f>
        <v>51.209856000000002</v>
      </c>
      <c r="Q33" t="s">
        <v>139</v>
      </c>
    </row>
    <row r="35" spans="1:24" x14ac:dyDescent="0.25">
      <c r="B35" s="9" t="s">
        <v>39</v>
      </c>
      <c r="E35" s="6" t="s">
        <v>208</v>
      </c>
      <c r="H35" s="22">
        <f t="shared" ref="H35:O35" si="6">H30-H33</f>
        <v>277.7999999999999</v>
      </c>
      <c r="I35" s="22">
        <f t="shared" si="6"/>
        <v>383.30000000000007</v>
      </c>
      <c r="J35" s="22">
        <f t="shared" si="6"/>
        <v>421.09999999999991</v>
      </c>
      <c r="K35" s="22">
        <f t="shared" si="6"/>
        <v>548.74118334835634</v>
      </c>
      <c r="L35" s="22">
        <f t="shared" ca="1" si="6"/>
        <v>696.34584509093133</v>
      </c>
      <c r="M35" s="22">
        <f t="shared" ca="1" si="6"/>
        <v>848.08384882755058</v>
      </c>
      <c r="N35" s="22">
        <f t="shared" ca="1" si="6"/>
        <v>987.18821030698609</v>
      </c>
      <c r="O35" s="22">
        <f t="shared" ca="1" si="6"/>
        <v>1152.3606647323493</v>
      </c>
    </row>
    <row r="37" spans="1:24" x14ac:dyDescent="0.25">
      <c r="B37" s="9" t="s">
        <v>40</v>
      </c>
      <c r="E37" s="6" t="s">
        <v>208</v>
      </c>
      <c r="H37" s="22">
        <f>H35*H38</f>
        <v>35.558399999999985</v>
      </c>
      <c r="I37" s="22">
        <f t="shared" ref="I37:O37" si="7">I35*I38</f>
        <v>-86.242500000000021</v>
      </c>
      <c r="J37" s="22">
        <f t="shared" si="7"/>
        <v>184.86289999999997</v>
      </c>
      <c r="K37" s="22">
        <f t="shared" si="7"/>
        <v>114.68690731980647</v>
      </c>
      <c r="L37" s="22">
        <f t="shared" ca="1" si="7"/>
        <v>145.53628162400463</v>
      </c>
      <c r="M37" s="22">
        <f t="shared" ca="1" si="7"/>
        <v>177.24952440495807</v>
      </c>
      <c r="N37" s="22">
        <f t="shared" ca="1" si="7"/>
        <v>206.32233595416008</v>
      </c>
      <c r="O37" s="22">
        <f t="shared" ca="1" si="7"/>
        <v>240.84337892906098</v>
      </c>
    </row>
    <row r="38" spans="1:24" x14ac:dyDescent="0.25">
      <c r="C38" s="12" t="s">
        <v>34</v>
      </c>
      <c r="G38" s="17"/>
      <c r="H38" s="39">
        <f>Assumptions!G12</f>
        <v>0.128</v>
      </c>
      <c r="I38" s="39">
        <f>Assumptions!H12</f>
        <v>-0.22500000000000001</v>
      </c>
      <c r="J38" s="39">
        <f>Assumptions!I12</f>
        <v>0.439</v>
      </c>
      <c r="K38" s="39">
        <f>Assumptions!J12</f>
        <v>0.20899999999999999</v>
      </c>
      <c r="L38" s="39">
        <f>Assumptions!K12</f>
        <v>0.20899999999999999</v>
      </c>
      <c r="M38" s="39">
        <f>Assumptions!L12</f>
        <v>0.20899999999999999</v>
      </c>
      <c r="N38" s="39">
        <f>Assumptions!M12</f>
        <v>0.20899999999999999</v>
      </c>
      <c r="O38" s="39">
        <f>Assumptions!N12</f>
        <v>0.20899999999999999</v>
      </c>
    </row>
    <row r="40" spans="1:24" x14ac:dyDescent="0.25">
      <c r="B40" s="23" t="s">
        <v>37</v>
      </c>
      <c r="C40" s="3"/>
      <c r="D40" s="3"/>
      <c r="E40" s="37" t="s">
        <v>208</v>
      </c>
      <c r="F40" s="3"/>
      <c r="G40" s="3"/>
      <c r="H40" s="24">
        <f t="shared" ref="H40:O40" si="8">H35-H37</f>
        <v>242.24159999999992</v>
      </c>
      <c r="I40" s="24">
        <f t="shared" si="8"/>
        <v>469.54250000000008</v>
      </c>
      <c r="J40" s="24">
        <f t="shared" si="8"/>
        <v>236.23709999999994</v>
      </c>
      <c r="K40" s="24">
        <f t="shared" si="8"/>
        <v>434.05427602854991</v>
      </c>
      <c r="L40" s="24">
        <f t="shared" ca="1" si="8"/>
        <v>550.80956346692665</v>
      </c>
      <c r="M40" s="24">
        <f t="shared" ca="1" si="8"/>
        <v>670.83432442259254</v>
      </c>
      <c r="N40" s="24">
        <f t="shared" ca="1" si="8"/>
        <v>780.86587435282604</v>
      </c>
      <c r="O40" s="24">
        <f t="shared" ca="1" si="8"/>
        <v>911.51728580328836</v>
      </c>
    </row>
    <row r="41" spans="1:24" x14ac:dyDescent="0.25">
      <c r="B41" s="28"/>
      <c r="C41" s="14"/>
      <c r="D41" s="14"/>
      <c r="E41" s="14"/>
      <c r="F41" s="14"/>
      <c r="G41" s="14"/>
      <c r="H41" s="14"/>
      <c r="I41" s="14"/>
      <c r="J41" s="14"/>
      <c r="K41" s="29"/>
      <c r="L41" s="29"/>
      <c r="M41" s="29"/>
      <c r="N41" s="29"/>
      <c r="O41" s="29"/>
    </row>
    <row r="43" spans="1:24" ht="28.5" x14ac:dyDescent="0.45">
      <c r="A43" s="4" t="s">
        <v>51</v>
      </c>
      <c r="B43" s="4"/>
      <c r="C43" s="4"/>
      <c r="D43" s="4"/>
      <c r="E43" s="4"/>
      <c r="F43" s="3"/>
      <c r="G43" s="3"/>
      <c r="H43" s="3"/>
      <c r="I43" s="3"/>
      <c r="J43" s="3"/>
    </row>
    <row r="44" spans="1:24" ht="28.5" x14ac:dyDescent="0.45">
      <c r="A44" s="30"/>
      <c r="B44" s="30"/>
      <c r="C44" s="30"/>
      <c r="D44" s="30"/>
      <c r="E44" s="30"/>
      <c r="F44" s="14"/>
      <c r="G44" s="14"/>
      <c r="H44" s="14"/>
      <c r="I44" s="14"/>
      <c r="J44" s="14"/>
    </row>
    <row r="45" spans="1:24" x14ac:dyDescent="0.25">
      <c r="A45" s="31"/>
      <c r="B45" s="31"/>
      <c r="C45" s="31"/>
      <c r="D45" s="31"/>
      <c r="E45" s="31"/>
      <c r="F45" s="13"/>
      <c r="G45" s="13"/>
      <c r="H45" s="13"/>
      <c r="I45" s="13"/>
      <c r="J45" s="13"/>
      <c r="K45" s="13"/>
      <c r="L45" s="13"/>
      <c r="M45" s="13"/>
      <c r="N45" s="13"/>
      <c r="O45" s="13"/>
    </row>
    <row r="46" spans="1:24" x14ac:dyDescent="0.25">
      <c r="A46" s="31"/>
      <c r="B46" s="31"/>
      <c r="C46" s="31"/>
      <c r="D46" s="31"/>
      <c r="E46" s="32">
        <v>2025</v>
      </c>
      <c r="F46" s="33">
        <v>2026</v>
      </c>
      <c r="G46" s="33">
        <v>2027</v>
      </c>
      <c r="H46" s="34">
        <v>2028</v>
      </c>
      <c r="I46" s="34">
        <v>2029</v>
      </c>
      <c r="J46" s="13"/>
      <c r="K46" s="13"/>
      <c r="L46" s="33"/>
      <c r="M46" s="53" t="s">
        <v>193</v>
      </c>
      <c r="N46" s="55">
        <v>2.5000000000000001E-2</v>
      </c>
      <c r="O46" s="55">
        <v>2.75E-2</v>
      </c>
      <c r="P46" s="55">
        <v>0.03</v>
      </c>
      <c r="Q46" s="55">
        <v>3.2500000000000001E-2</v>
      </c>
      <c r="R46" s="52">
        <v>3.5000000000000003E-2</v>
      </c>
    </row>
    <row r="47" spans="1:24" x14ac:dyDescent="0.25">
      <c r="B47" s="6" t="s">
        <v>52</v>
      </c>
      <c r="E47">
        <f>K30-K37</f>
        <v>508.01413202854985</v>
      </c>
      <c r="F47">
        <f ca="1">L30-L37</f>
        <v>624.76941946692659</v>
      </c>
      <c r="G47">
        <f ca="1">M30-M37</f>
        <v>744.79418042259249</v>
      </c>
      <c r="H47">
        <f ca="1">N30-N37</f>
        <v>854.82573035282599</v>
      </c>
      <c r="I47">
        <f ca="1">O30-O37</f>
        <v>962.7271418032883</v>
      </c>
      <c r="L47" s="56"/>
      <c r="M47" s="57">
        <v>8.5699999999999998E-2</v>
      </c>
      <c r="N47" s="58">
        <v>81.17</v>
      </c>
      <c r="O47" s="69">
        <v>84.4</v>
      </c>
      <c r="P47" s="58">
        <v>87.92</v>
      </c>
      <c r="Q47" s="58">
        <v>91.77</v>
      </c>
      <c r="R47" s="74">
        <v>96</v>
      </c>
      <c r="T47" s="19" t="s">
        <v>194</v>
      </c>
      <c r="U47">
        <f>MEDIAN(N47:R51)</f>
        <v>79.680000000000007</v>
      </c>
    </row>
    <row r="48" spans="1:24" x14ac:dyDescent="0.25">
      <c r="A48" t="s">
        <v>53</v>
      </c>
      <c r="B48" s="6" t="s">
        <v>32</v>
      </c>
      <c r="E48">
        <f>K28</f>
        <v>205</v>
      </c>
      <c r="F48">
        <f ca="1">L28</f>
        <v>197.92246729690689</v>
      </c>
      <c r="G48">
        <f ca="1">M28</f>
        <v>189.36207108656703</v>
      </c>
      <c r="H48">
        <f ca="1">N28</f>
        <v>196.40235398093617</v>
      </c>
      <c r="I48">
        <f ca="1">O28</f>
        <v>204.10606123041498</v>
      </c>
      <c r="L48" s="56"/>
      <c r="M48" s="57">
        <v>8.8200000000000001E-2</v>
      </c>
      <c r="N48" s="58">
        <v>77.45</v>
      </c>
      <c r="O48" s="69">
        <v>80.400000000000006</v>
      </c>
      <c r="P48" s="69">
        <v>83.6</v>
      </c>
      <c r="Q48" s="58">
        <v>87.08</v>
      </c>
      <c r="R48" s="74">
        <v>90.9</v>
      </c>
      <c r="T48" s="19" t="s">
        <v>195</v>
      </c>
      <c r="U48">
        <f>_xlfn.QUARTILE.EXC(N47:R51,1)</f>
        <v>74.650000000000006</v>
      </c>
      <c r="W48" t="s">
        <v>199</v>
      </c>
      <c r="X48">
        <f>U49-U48</f>
        <v>10.704999999999998</v>
      </c>
    </row>
    <row r="49" spans="1:21" x14ac:dyDescent="0.25">
      <c r="A49" t="s">
        <v>54</v>
      </c>
      <c r="B49" s="6" t="s">
        <v>27</v>
      </c>
      <c r="E49">
        <f>'D&amp;A Calculations'!K9</f>
        <v>110</v>
      </c>
      <c r="F49">
        <f>'D&amp;A Calculations'!L9</f>
        <v>94.243269753540531</v>
      </c>
      <c r="G49">
        <f>'D&amp;A Calculations'!M9</f>
        <v>104.46543876044034</v>
      </c>
      <c r="H49">
        <f>'D&amp;A Calculations'!N9</f>
        <v>114.27861603555918</v>
      </c>
      <c r="I49">
        <f>'D&amp;A Calculations'!O9</f>
        <v>123.81144875901877</v>
      </c>
      <c r="L49" s="56"/>
      <c r="M49" s="57">
        <v>9.0700000000000003E-2</v>
      </c>
      <c r="N49" s="58">
        <v>74.05</v>
      </c>
      <c r="O49" s="58">
        <v>76.75</v>
      </c>
      <c r="P49" s="76">
        <v>79.680000000000007</v>
      </c>
      <c r="Q49" s="58">
        <v>82.85</v>
      </c>
      <c r="R49" s="56">
        <v>86.31</v>
      </c>
      <c r="T49" s="19" t="s">
        <v>196</v>
      </c>
      <c r="U49">
        <f>_xlfn.QUARTILE.EXC(N47:R51,3)</f>
        <v>85.355000000000004</v>
      </c>
    </row>
    <row r="50" spans="1:21" x14ac:dyDescent="0.25">
      <c r="A50" t="s">
        <v>54</v>
      </c>
      <c r="B50" s="6" t="s">
        <v>55</v>
      </c>
      <c r="E50" s="47">
        <f>('Working Capital Schedule'!K20+'Working Capital Schedule'!K22-'Working Capital Schedule'!K24)-('Working Capital Schedule'!J20+'Working Capital Schedule'!J22-'Working Capital Schedule'!J24)</f>
        <v>31.907149574240634</v>
      </c>
      <c r="F50" s="47">
        <f>('Working Capital Schedule'!L20+'Working Capital Schedule'!L22-'Working Capital Schedule'!L24)-('Working Capital Schedule'!K20+'Working Capital Schedule'!K22-'Working Capital Schedule'!K24)</f>
        <v>18.606715619056331</v>
      </c>
      <c r="G50" s="47">
        <f>('Working Capital Schedule'!M20+'Working Capital Schedule'!M22-'Working Capital Schedule'!M24)-('Working Capital Schedule'!L20+'Working Capital Schedule'!L22-'Working Capital Schedule'!L24)</f>
        <v>19.536515513952963</v>
      </c>
      <c r="H50" s="47">
        <f>('Working Capital Schedule'!N20+'Working Capital Schedule'!N22-'Working Capital Schedule'!N24)-('Working Capital Schedule'!M20+'Working Capital Schedule'!M22-'Working Capital Schedule'!M24)</f>
        <v>19.682752279691272</v>
      </c>
      <c r="I50" s="47">
        <f>('Working Capital Schedule'!O20+'Working Capital Schedule'!O22-'Working Capital Schedule'!O24)-('Working Capital Schedule'!N20+'Working Capital Schedule'!N22-'Working Capital Schedule'!N24)</f>
        <v>20.030610795982511</v>
      </c>
      <c r="L50" s="56"/>
      <c r="M50" s="57">
        <v>9.3200000000000005E-2</v>
      </c>
      <c r="N50" s="58">
        <v>70.83</v>
      </c>
      <c r="O50" s="69">
        <v>73.3</v>
      </c>
      <c r="P50" s="58">
        <v>75.98</v>
      </c>
      <c r="Q50" s="58">
        <v>78.87</v>
      </c>
      <c r="R50" s="56">
        <v>82.01</v>
      </c>
      <c r="T50" s="19" t="s">
        <v>197</v>
      </c>
      <c r="U50">
        <f>U49+1.5*X48</f>
        <v>101.41249999999999</v>
      </c>
    </row>
    <row r="51" spans="1:21" x14ac:dyDescent="0.25">
      <c r="A51" t="s">
        <v>56</v>
      </c>
      <c r="B51" s="6" t="s">
        <v>57</v>
      </c>
      <c r="E51">
        <f>E47+E48-E49-E50</f>
        <v>571.10698245430922</v>
      </c>
      <c r="F51">
        <f ca="1">F47+F48-F49-F50</f>
        <v>709.84190139123666</v>
      </c>
      <c r="G51">
        <f ca="1">G47+G48-G49-G50</f>
        <v>810.15429723476632</v>
      </c>
      <c r="H51">
        <f ca="1">H47+H48-H49-H50</f>
        <v>917.26671601851172</v>
      </c>
      <c r="I51">
        <f ca="1">I47+I48-I49-I50</f>
        <v>1022.991143478702</v>
      </c>
      <c r="M51" s="54">
        <v>9.5699999999999993E-2</v>
      </c>
      <c r="N51" s="67">
        <v>67.87</v>
      </c>
      <c r="O51" s="67">
        <v>70.150000000000006</v>
      </c>
      <c r="P51" s="66">
        <v>72.599999999999994</v>
      </c>
      <c r="Q51" s="67">
        <v>75.25</v>
      </c>
      <c r="R51" s="75">
        <v>78.12</v>
      </c>
      <c r="T51" s="19" t="s">
        <v>198</v>
      </c>
      <c r="U51">
        <f>U48-1.5*X48</f>
        <v>58.592500000000008</v>
      </c>
    </row>
    <row r="52" spans="1:21" x14ac:dyDescent="0.25">
      <c r="M52" s="8"/>
    </row>
    <row r="53" spans="1:21" x14ac:dyDescent="0.25">
      <c r="B53" s="6" t="s">
        <v>58</v>
      </c>
      <c r="E53">
        <f>E51/(1+WACC!$D$16)^(E46-2024)</f>
        <v>523.62983037905826</v>
      </c>
      <c r="F53">
        <f ca="1">F51/(1+WACC!$D$16)^(F46-2024)</f>
        <v>596.72667367484155</v>
      </c>
      <c r="G53">
        <f ca="1">G51/(1+WACC!$D$16)^(G46-2024)</f>
        <v>624.43677065929739</v>
      </c>
      <c r="H53">
        <f ca="1">H51/(1+WACC!$D$16)^(H46-2024)</f>
        <v>648.22126465647978</v>
      </c>
      <c r="I53">
        <f ca="1">I51/(1+WACC!$D$16)^(I46-2024)</f>
        <v>662.8365106076958</v>
      </c>
    </row>
    <row r="54" spans="1:21" x14ac:dyDescent="0.25">
      <c r="B54" s="6" t="s">
        <v>59</v>
      </c>
      <c r="I54">
        <f ca="1">(I51*(1+WACC!D18))/(WACC!D16-WACC!D18)</f>
        <v>17367.611212066564</v>
      </c>
    </row>
    <row r="55" spans="1:21" x14ac:dyDescent="0.25">
      <c r="B55" s="6" t="s">
        <v>60</v>
      </c>
      <c r="I55">
        <f ca="1">I54/(1+WACC!D16)^5</f>
        <v>11253.163711907508</v>
      </c>
    </row>
    <row r="56" spans="1:21" x14ac:dyDescent="0.25">
      <c r="B56" s="6" t="s">
        <v>61</v>
      </c>
      <c r="I56">
        <f ca="1">SUM(E53:I53,I55)</f>
        <v>14309.01476188488</v>
      </c>
    </row>
    <row r="57" spans="1:21" x14ac:dyDescent="0.25">
      <c r="A57" t="s">
        <v>54</v>
      </c>
      <c r="B57" s="6" t="s">
        <v>62</v>
      </c>
      <c r="I57">
        <f>WACC!D2</f>
        <v>1579.5</v>
      </c>
    </row>
    <row r="58" spans="1:21" x14ac:dyDescent="0.25">
      <c r="A58" t="s">
        <v>53</v>
      </c>
      <c r="B58" s="6" t="s">
        <v>36</v>
      </c>
      <c r="I58">
        <v>126.9</v>
      </c>
    </row>
    <row r="59" spans="1:21" x14ac:dyDescent="0.25">
      <c r="A59" t="s">
        <v>56</v>
      </c>
      <c r="B59" s="6" t="s">
        <v>63</v>
      </c>
      <c r="I59">
        <f ca="1">I56-I57+I58</f>
        <v>12856.41476188488</v>
      </c>
    </row>
    <row r="61" spans="1:21" x14ac:dyDescent="0.25">
      <c r="B61" s="6" t="s">
        <v>64</v>
      </c>
      <c r="I61">
        <v>161.36000000000001</v>
      </c>
    </row>
    <row r="62" spans="1:21" x14ac:dyDescent="0.25">
      <c r="B62" s="6" t="s">
        <v>65</v>
      </c>
      <c r="I62">
        <f ca="1">I59/I61</f>
        <v>79.675351771720869</v>
      </c>
    </row>
    <row r="63" spans="1:21" x14ac:dyDescent="0.25">
      <c r="B63" s="6" t="s">
        <v>140</v>
      </c>
      <c r="I63" s="19" t="s">
        <v>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F205E-0484-4AB3-BE22-C6AC75118CDB}">
  <dimension ref="A1:G18"/>
  <sheetViews>
    <sheetView workbookViewId="0">
      <selection sqref="A1:E18"/>
    </sheetView>
  </sheetViews>
  <sheetFormatPr defaultRowHeight="15" x14ac:dyDescent="0.25"/>
  <cols>
    <col min="1" max="1" width="2.85546875" customWidth="1"/>
    <col min="3" max="3" width="11" customWidth="1"/>
    <col min="5" max="5" width="10.85546875" customWidth="1"/>
    <col min="6" max="6" width="9.140625" customWidth="1"/>
    <col min="7" max="7" width="19.28515625" bestFit="1" customWidth="1"/>
  </cols>
  <sheetData>
    <row r="1" spans="1:7" ht="31.5" x14ac:dyDescent="0.5">
      <c r="A1" s="35" t="s">
        <v>66</v>
      </c>
      <c r="B1" s="35"/>
      <c r="C1" s="35"/>
      <c r="D1" s="35"/>
      <c r="E1" s="16"/>
    </row>
    <row r="2" spans="1:7" x14ac:dyDescent="0.25">
      <c r="C2" s="19" t="s">
        <v>67</v>
      </c>
      <c r="D2">
        <v>1579.5</v>
      </c>
    </row>
    <row r="3" spans="1:7" x14ac:dyDescent="0.25">
      <c r="C3" s="19" t="s">
        <v>205</v>
      </c>
      <c r="D3" s="44">
        <f>0.0106+0.0388</f>
        <v>4.9399999999999999E-2</v>
      </c>
      <c r="F3" s="36" t="s">
        <v>79</v>
      </c>
    </row>
    <row r="4" spans="1:7" x14ac:dyDescent="0.25">
      <c r="C4" s="19" t="s">
        <v>68</v>
      </c>
      <c r="D4" s="17">
        <f>D2/D14</f>
        <v>8.4152481419323896E-2</v>
      </c>
      <c r="F4" t="s">
        <v>128</v>
      </c>
    </row>
    <row r="5" spans="1:7" x14ac:dyDescent="0.25">
      <c r="C5" s="19" t="s">
        <v>69</v>
      </c>
      <c r="D5" s="41">
        <f>Assumptions!J12</f>
        <v>0.20899999999999999</v>
      </c>
    </row>
    <row r="7" spans="1:7" x14ac:dyDescent="0.25">
      <c r="C7" s="19" t="s">
        <v>70</v>
      </c>
      <c r="D7">
        <v>17190</v>
      </c>
      <c r="F7" t="s">
        <v>127</v>
      </c>
    </row>
    <row r="8" spans="1:7" x14ac:dyDescent="0.25">
      <c r="C8" s="19" t="s">
        <v>71</v>
      </c>
      <c r="D8">
        <f>D10+D11*D12</f>
        <v>9.5409999999999995E-2</v>
      </c>
    </row>
    <row r="9" spans="1:7" x14ac:dyDescent="0.25">
      <c r="C9" s="19" t="s">
        <v>72</v>
      </c>
      <c r="D9" s="17">
        <f>D7/D14</f>
        <v>0.91584751858067615</v>
      </c>
    </row>
    <row r="10" spans="1:7" x14ac:dyDescent="0.25">
      <c r="C10" s="19" t="s">
        <v>73</v>
      </c>
      <c r="D10" s="44">
        <v>3.8800000000000001E-2</v>
      </c>
    </row>
    <row r="11" spans="1:7" x14ac:dyDescent="0.25">
      <c r="C11" s="19" t="s">
        <v>74</v>
      </c>
      <c r="D11">
        <v>1.258</v>
      </c>
      <c r="F11" t="s">
        <v>126</v>
      </c>
    </row>
    <row r="12" spans="1:7" x14ac:dyDescent="0.25">
      <c r="C12" s="19" t="s">
        <v>75</v>
      </c>
      <c r="D12" s="44">
        <v>4.4999999999999998E-2</v>
      </c>
    </row>
    <row r="14" spans="1:7" x14ac:dyDescent="0.25">
      <c r="C14" s="19" t="s">
        <v>76</v>
      </c>
      <c r="D14">
        <f>D2+D7</f>
        <v>18769.5</v>
      </c>
    </row>
    <row r="16" spans="1:7" x14ac:dyDescent="0.25">
      <c r="C16" s="19" t="s">
        <v>77</v>
      </c>
      <c r="D16" s="44">
        <f>(D3*D4*(1-D5))+(D9*(D10+D11*D12))</f>
        <v>9.0669303620234953E-2</v>
      </c>
      <c r="G16" s="50"/>
    </row>
    <row r="18" spans="2:6" x14ac:dyDescent="0.25">
      <c r="B18" t="s">
        <v>78</v>
      </c>
      <c r="D18" s="8">
        <v>0.03</v>
      </c>
      <c r="F18" t="s">
        <v>125</v>
      </c>
    </row>
  </sheetData>
  <hyperlinks>
    <hyperlink ref="F3" r:id="rId1" xr:uid="{67BEA273-834B-4710-897B-A4FEB79F061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62826-72BB-4118-8245-9A68A7849315}">
  <dimension ref="A1:R14"/>
  <sheetViews>
    <sheetView workbookViewId="0">
      <selection activeCell="Q2" sqref="Q2"/>
    </sheetView>
  </sheetViews>
  <sheetFormatPr defaultRowHeight="15" x14ac:dyDescent="0.25"/>
  <cols>
    <col min="1" max="1" width="10.28515625" bestFit="1" customWidth="1"/>
    <col min="16" max="16" width="13.140625" customWidth="1"/>
    <col min="17" max="17" width="17.140625" customWidth="1"/>
  </cols>
  <sheetData>
    <row r="1" spans="1:18" x14ac:dyDescent="0.25">
      <c r="A1" t="s">
        <v>211</v>
      </c>
      <c r="B1" t="s">
        <v>209</v>
      </c>
      <c r="C1" t="s">
        <v>209</v>
      </c>
      <c r="D1" t="s">
        <v>210</v>
      </c>
      <c r="E1" t="s">
        <v>210</v>
      </c>
      <c r="F1" t="s">
        <v>145</v>
      </c>
      <c r="G1" t="s">
        <v>145</v>
      </c>
      <c r="Q1" t="s">
        <v>212</v>
      </c>
      <c r="R1" t="s">
        <v>213</v>
      </c>
    </row>
    <row r="2" spans="1:18" x14ac:dyDescent="0.25">
      <c r="A2" s="77">
        <v>45659</v>
      </c>
      <c r="B2">
        <v>5868.55</v>
      </c>
      <c r="C2">
        <v>100</v>
      </c>
      <c r="D2">
        <v>131.30000000000001</v>
      </c>
      <c r="E2">
        <v>100</v>
      </c>
      <c r="F2">
        <v>68.459999999999994</v>
      </c>
      <c r="G2">
        <v>100</v>
      </c>
      <c r="Q2" s="78">
        <v>0.61</v>
      </c>
      <c r="R2" s="78">
        <v>0.39</v>
      </c>
    </row>
    <row r="3" spans="1:18" x14ac:dyDescent="0.25">
      <c r="A3" s="77">
        <v>45688</v>
      </c>
      <c r="B3">
        <v>6040.53</v>
      </c>
      <c r="C3">
        <f>C2*(1+(B3/B2-1))</f>
        <v>102.9305365039064</v>
      </c>
      <c r="D3">
        <v>138.35</v>
      </c>
      <c r="E3">
        <f>E2*(1+(D3/D2-1))</f>
        <v>105.36938309215536</v>
      </c>
      <c r="F3">
        <v>65.09</v>
      </c>
      <c r="G3">
        <f>G2*(1+(F3/F2-1))</f>
        <v>95.077417470055522</v>
      </c>
      <c r="P3" t="s">
        <v>214</v>
      </c>
      <c r="Q3" s="78">
        <v>0.73</v>
      </c>
      <c r="R3" s="78">
        <v>0.71</v>
      </c>
    </row>
    <row r="4" spans="1:18" x14ac:dyDescent="0.25">
      <c r="A4" s="77">
        <v>45716</v>
      </c>
      <c r="B4">
        <v>5954.5</v>
      </c>
      <c r="C4">
        <f t="shared" ref="C4:C13" si="0">C3*(1+(B4/B3-1))</f>
        <v>101.46458665258027</v>
      </c>
      <c r="D4">
        <v>136.33000000000001</v>
      </c>
      <c r="E4">
        <f t="shared" ref="E4:E14" si="1">E3*(1+(D4/D3-1))</f>
        <v>103.83092155369383</v>
      </c>
      <c r="F4">
        <v>60.34</v>
      </c>
      <c r="G4">
        <f t="shared" ref="G4:G14" si="2">G3*(1+(F4/F3-1))</f>
        <v>88.139059304703494</v>
      </c>
      <c r="P4" t="s">
        <v>215</v>
      </c>
      <c r="Q4" s="78">
        <v>0.27</v>
      </c>
      <c r="R4" s="78">
        <v>0.28999999999999998</v>
      </c>
    </row>
    <row r="5" spans="1:18" x14ac:dyDescent="0.25">
      <c r="A5" s="77">
        <v>45747</v>
      </c>
      <c r="B5">
        <v>5611.85</v>
      </c>
      <c r="C5">
        <f t="shared" si="0"/>
        <v>95.62583602423085</v>
      </c>
      <c r="D5">
        <v>131.07</v>
      </c>
      <c r="E5">
        <f t="shared" si="1"/>
        <v>99.824828636709796</v>
      </c>
      <c r="F5">
        <v>52.42</v>
      </c>
      <c r="G5">
        <f t="shared" si="2"/>
        <v>76.57026000584284</v>
      </c>
    </row>
    <row r="6" spans="1:18" x14ac:dyDescent="0.25">
      <c r="A6" s="77">
        <v>45755</v>
      </c>
      <c r="B6">
        <v>4982.7700000000004</v>
      </c>
      <c r="C6">
        <f t="shared" si="0"/>
        <v>84.906322686183131</v>
      </c>
      <c r="D6">
        <v>116.42</v>
      </c>
      <c r="E6">
        <f t="shared" si="1"/>
        <v>88.667174409748654</v>
      </c>
      <c r="F6">
        <v>45.2</v>
      </c>
      <c r="G6">
        <f t="shared" si="2"/>
        <v>66.023955594507754</v>
      </c>
    </row>
    <row r="7" spans="1:18" x14ac:dyDescent="0.25">
      <c r="A7" s="77">
        <v>45777</v>
      </c>
      <c r="B7">
        <v>5569.06</v>
      </c>
      <c r="C7">
        <f t="shared" si="0"/>
        <v>94.896695095040513</v>
      </c>
      <c r="D7">
        <v>131.32</v>
      </c>
      <c r="E7">
        <f t="shared" si="1"/>
        <v>100.01523229245998</v>
      </c>
      <c r="F7">
        <v>54.91</v>
      </c>
      <c r="G7">
        <f t="shared" si="2"/>
        <v>80.207420391469469</v>
      </c>
    </row>
    <row r="8" spans="1:18" x14ac:dyDescent="0.25">
      <c r="A8" s="77">
        <v>45807</v>
      </c>
      <c r="B8">
        <v>5912.17</v>
      </c>
      <c r="C8">
        <f t="shared" si="0"/>
        <v>100.74328411617861</v>
      </c>
      <c r="D8">
        <v>142.82</v>
      </c>
      <c r="E8">
        <f t="shared" si="1"/>
        <v>108.77380045696876</v>
      </c>
      <c r="F8">
        <v>65.8</v>
      </c>
      <c r="G8">
        <f t="shared" si="2"/>
        <v>96.114519427402854</v>
      </c>
    </row>
    <row r="9" spans="1:18" x14ac:dyDescent="0.25">
      <c r="A9" s="77">
        <v>45838</v>
      </c>
      <c r="B9">
        <v>6204.95</v>
      </c>
      <c r="C9">
        <f t="shared" si="0"/>
        <v>105.73225072632933</v>
      </c>
      <c r="D9">
        <v>147.52000000000001</v>
      </c>
      <c r="E9">
        <f t="shared" si="1"/>
        <v>112.35338918507234</v>
      </c>
      <c r="F9">
        <v>73.25</v>
      </c>
      <c r="G9">
        <f t="shared" si="2"/>
        <v>106.9967864446392</v>
      </c>
    </row>
    <row r="10" spans="1:18" x14ac:dyDescent="0.25">
      <c r="A10" s="77">
        <v>45869</v>
      </c>
      <c r="B10">
        <v>6339.39</v>
      </c>
      <c r="C10">
        <f t="shared" si="0"/>
        <v>108.02310621874229</v>
      </c>
      <c r="D10">
        <v>152.01</v>
      </c>
      <c r="E10">
        <f t="shared" si="1"/>
        <v>115.77303884234574</v>
      </c>
      <c r="F10">
        <v>78.42</v>
      </c>
      <c r="G10">
        <f t="shared" si="2"/>
        <v>114.54864154250656</v>
      </c>
    </row>
    <row r="11" spans="1:18" x14ac:dyDescent="0.25">
      <c r="A11" s="77">
        <v>45898</v>
      </c>
      <c r="B11">
        <v>6460.26</v>
      </c>
      <c r="C11">
        <f t="shared" si="0"/>
        <v>110.08272912388921</v>
      </c>
      <c r="D11">
        <v>152.01</v>
      </c>
      <c r="E11">
        <f t="shared" si="1"/>
        <v>115.77303884234574</v>
      </c>
      <c r="F11">
        <v>90.39</v>
      </c>
      <c r="G11">
        <f t="shared" si="2"/>
        <v>132.03330411919367</v>
      </c>
    </row>
    <row r="12" spans="1:18" x14ac:dyDescent="0.25">
      <c r="A12" s="77">
        <v>45930</v>
      </c>
      <c r="B12">
        <v>6688.46</v>
      </c>
      <c r="C12">
        <f t="shared" si="0"/>
        <v>113.97125354644673</v>
      </c>
      <c r="D12">
        <v>154.22999999999999</v>
      </c>
      <c r="E12">
        <f t="shared" si="1"/>
        <v>117.46382330540742</v>
      </c>
      <c r="F12">
        <v>98.64</v>
      </c>
      <c r="G12">
        <f t="shared" si="2"/>
        <v>144.0841367221735</v>
      </c>
    </row>
    <row r="13" spans="1:18" x14ac:dyDescent="0.25">
      <c r="A13" s="77">
        <v>45961</v>
      </c>
      <c r="B13">
        <v>6840.2</v>
      </c>
      <c r="C13">
        <f t="shared" si="0"/>
        <v>116.55690076765127</v>
      </c>
      <c r="D13">
        <v>155.06</v>
      </c>
      <c r="E13">
        <f t="shared" si="1"/>
        <v>118.09596344249805</v>
      </c>
      <c r="F13">
        <v>114.35</v>
      </c>
      <c r="G13">
        <f t="shared" si="2"/>
        <v>167.03184341221146</v>
      </c>
    </row>
    <row r="14" spans="1:18" x14ac:dyDescent="0.25">
      <c r="A14" s="77">
        <v>45979</v>
      </c>
      <c r="B14">
        <v>6617.32</v>
      </c>
      <c r="C14">
        <f>C13*(1+(B14/B13-1))</f>
        <v>112.75902906169324</v>
      </c>
      <c r="D14">
        <v>149.85</v>
      </c>
      <c r="E14">
        <f t="shared" si="1"/>
        <v>114.12795125666408</v>
      </c>
      <c r="F14">
        <v>104.31</v>
      </c>
      <c r="G14">
        <f t="shared" si="2"/>
        <v>152.36634531113054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Assumptions</vt:lpstr>
      <vt:lpstr>Peer Comparison</vt:lpstr>
      <vt:lpstr>Scenarios</vt:lpstr>
      <vt:lpstr>D&amp;A Calculations</vt:lpstr>
      <vt:lpstr>Working Capital Schedule</vt:lpstr>
      <vt:lpstr>Financial Forecast + DCF</vt:lpstr>
      <vt:lpstr>WACC</vt:lpstr>
      <vt:lpstr>Miscellaneous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Bryam Alvarado</dc:creator>
  <cp:lastModifiedBy>Bryam Alvarado</cp:lastModifiedBy>
  <dcterms:created xsi:type="dcterms:W3CDTF">2025-11-04T01:47:49Z</dcterms:created>
  <dcterms:modified xsi:type="dcterms:W3CDTF">2025-12-17T05:42:15Z</dcterms:modified>
</cp:coreProperties>
</file>